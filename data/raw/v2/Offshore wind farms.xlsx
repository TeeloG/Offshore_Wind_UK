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>
    <definedName hidden="1" localSheetId="1" name="_xlnm._FilterDatabase">Sheet2!$A$1:$F$45</definedName>
    <definedName hidden="1" localSheetId="2" name="_xlnm._FilterDatabase">Sheet3!$A$1:$I$46</definedName>
  </definedNames>
  <calcPr/>
</workbook>
</file>

<file path=xl/sharedStrings.xml><?xml version="1.0" encoding="utf-8"?>
<sst xmlns="http://schemas.openxmlformats.org/spreadsheetml/2006/main" count="466" uniqueCount="166">
  <si>
    <t>Name</t>
  </si>
  <si>
    <t>Capacity (MW)</t>
  </si>
  <si>
    <t>Internal Array Cable Length (km)</t>
  </si>
  <si>
    <t>Export Cable Length (km)</t>
  </si>
  <si>
    <t>Current (A)</t>
  </si>
  <si>
    <t>Resistance of Array Cables (ꭥ)</t>
  </si>
  <si>
    <t>Array Power Loss (W)</t>
  </si>
  <si>
    <t>Array Electrical Loss (%)</t>
  </si>
  <si>
    <t>Resistance of Export Cables (ꭥ)</t>
  </si>
  <si>
    <t>Export Power Loss (W)</t>
  </si>
  <si>
    <t>Export Cable Loss (%)</t>
  </si>
  <si>
    <t>Transformer Loss (%)</t>
  </si>
  <si>
    <t>Total Electrical Loss (%)</t>
  </si>
  <si>
    <t>Aberdeen Bay</t>
  </si>
  <si>
    <t>Barrow</t>
  </si>
  <si>
    <t>Beatrice</t>
  </si>
  <si>
    <t>Blyth Demo Phase 1</t>
  </si>
  <si>
    <t>Burbo Bank</t>
  </si>
  <si>
    <t>Burbo Bank Extension</t>
  </si>
  <si>
    <t>Dudgeon</t>
  </si>
  <si>
    <t>East Anglia One</t>
  </si>
  <si>
    <t>Galloper</t>
  </si>
  <si>
    <t xml:space="preserve">Greater Gabbard </t>
  </si>
  <si>
    <t>Gunfleet Sands 1</t>
  </si>
  <si>
    <t>Gunfleet Sands 2</t>
  </si>
  <si>
    <t>Gwynt y Mor</t>
  </si>
  <si>
    <t>Hornsea 1</t>
  </si>
  <si>
    <t>Hornsea 2</t>
  </si>
  <si>
    <t>Humber Gateway</t>
  </si>
  <si>
    <t>Hywind</t>
  </si>
  <si>
    <t>Inner Dowsing</t>
  </si>
  <si>
    <t>Kentish Flats 1</t>
  </si>
  <si>
    <t>Kentish Flats 2</t>
  </si>
  <si>
    <t>Kincardine</t>
  </si>
  <si>
    <t>Lincs</t>
  </si>
  <si>
    <t>London Array</t>
  </si>
  <si>
    <t>Lynn</t>
  </si>
  <si>
    <t>Moray East</t>
  </si>
  <si>
    <t>North Hoyle</t>
  </si>
  <si>
    <t>Ormonde</t>
  </si>
  <si>
    <t>Race Bank</t>
  </si>
  <si>
    <t>Rampion</t>
  </si>
  <si>
    <t>Rhyl Flats</t>
  </si>
  <si>
    <t>Robin Rigg East</t>
  </si>
  <si>
    <t>Robin Rigg West</t>
  </si>
  <si>
    <t>Scorby Sands</t>
  </si>
  <si>
    <t>Seagreen 1</t>
  </si>
  <si>
    <t>Sheringham Shoal</t>
  </si>
  <si>
    <t>Teesside</t>
  </si>
  <si>
    <t>Thanet</t>
  </si>
  <si>
    <t>Triton Knoll</t>
  </si>
  <si>
    <t>Walney 1</t>
  </si>
  <si>
    <t>Walney 2</t>
  </si>
  <si>
    <t>Walney 3</t>
  </si>
  <si>
    <t>Walney 4</t>
  </si>
  <si>
    <t>West of Duddon Sands</t>
  </si>
  <si>
    <t>Westermost Rough</t>
  </si>
  <si>
    <t>Location</t>
  </si>
  <si>
    <t>Turbine Type</t>
  </si>
  <si>
    <t>Fixed/Floating</t>
  </si>
  <si>
    <t>Capacity Factor (%)</t>
  </si>
  <si>
    <t>Aberdeen</t>
  </si>
  <si>
    <t>Vestas V164</t>
  </si>
  <si>
    <t>Fixed</t>
  </si>
  <si>
    <t>East Irish Sea</t>
  </si>
  <si>
    <t>V164-8.0MW</t>
  </si>
  <si>
    <t>Moray Firth</t>
  </si>
  <si>
    <t>Siemens Gamesa SWT-7.0-154</t>
  </si>
  <si>
    <t>North Sea (north/coastal)</t>
  </si>
  <si>
    <t>Liverpool Bay</t>
  </si>
  <si>
    <t>SWT-3.6-107</t>
  </si>
  <si>
    <t xml:space="preserve">North Sea (coastal) </t>
  </si>
  <si>
    <t>SWT-6.0-154</t>
  </si>
  <si>
    <t xml:space="preserve">North Sea (south/coastal) </t>
  </si>
  <si>
    <t>E19 Siemens Gamesa 7MW</t>
  </si>
  <si>
    <t>Data Obtained:</t>
  </si>
  <si>
    <t>https://www.thecrownestate.co.uk/our-business/marine/offshore-wind/offshore-wind-map</t>
  </si>
  <si>
    <t>https://www.windtable.co.uk/data</t>
  </si>
  <si>
    <t>North Sea</t>
  </si>
  <si>
    <t>SWT-7.0-154</t>
  </si>
  <si>
    <t>https://energynumbers.info/uk-offshore-wind-capacity-factors</t>
  </si>
  <si>
    <t>Siemens Gamesa 8MW SG 8.4-167 DD</t>
  </si>
  <si>
    <t>Vestas V112</t>
  </si>
  <si>
    <t>Siemens SWT-6.0-154</t>
  </si>
  <si>
    <t>Floating</t>
  </si>
  <si>
    <t>V90-3.0 MW</t>
  </si>
  <si>
    <t>V112-3.3 MW</t>
  </si>
  <si>
    <t>Vestas V164-9.525</t>
  </si>
  <si>
    <t>SWT-3.6-120</t>
  </si>
  <si>
    <t>MHI Vestas V164 9.5</t>
  </si>
  <si>
    <t>V80-2.0 MW</t>
  </si>
  <si>
    <t>SE 5M</t>
  </si>
  <si>
    <t>SWT-6.0–154</t>
  </si>
  <si>
    <t xml:space="preserve">English Channel </t>
  </si>
  <si>
    <t>V112-3.45MW</t>
  </si>
  <si>
    <t>Solway Firth</t>
  </si>
  <si>
    <t xml:space="preserve">Great Yarmouth </t>
  </si>
  <si>
    <t>MHI Vestas V164-10MW</t>
  </si>
  <si>
    <t>SWT-2.3-93</t>
  </si>
  <si>
    <t>Vestas V90</t>
  </si>
  <si>
    <t>MHI Vestas v164-9.5</t>
  </si>
  <si>
    <t>SWT 7.0 MW</t>
  </si>
  <si>
    <t>Latitude &amp; Longitude</t>
  </si>
  <si>
    <t>Renewables Ninja Capacity Factor (%)</t>
  </si>
  <si>
    <t>Array Losses (%)</t>
  </si>
  <si>
    <t>Electrical Losses (%)</t>
  </si>
  <si>
    <t>Downtime (%)</t>
  </si>
  <si>
    <t>Calculated overall Capacity Factor</t>
  </si>
  <si>
    <t>57.2224° N, -1.9728° W</t>
  </si>
  <si>
    <t>Vestas V164-8.0</t>
  </si>
  <si>
    <t>53.9915° N, -3.2983° W</t>
  </si>
  <si>
    <t>58.254063° N, -2.884543° W</t>
  </si>
  <si>
    <t>55.1012° N, -1.2212° W</t>
  </si>
  <si>
    <t>53.28587° N, -3.16228° W</t>
  </si>
  <si>
    <t>53.480206° N, -3.252822° W</t>
  </si>
  <si>
    <t>53.1554° N, 1.22479° E</t>
  </si>
  <si>
    <t>52.22829° N, 2.49358° E</t>
  </si>
  <si>
    <t>51.893° N, 2.034° E</t>
  </si>
  <si>
    <t>51.8664° N, 1.9269° E</t>
  </si>
  <si>
    <t>51.703° N, 1.1919° E</t>
  </si>
  <si>
    <t>51.4414° N, 1.10121° E</t>
  </si>
  <si>
    <t>53.460° N, -3.599° W</t>
  </si>
  <si>
    <t>53.53599° N, 1.4724° E</t>
  </si>
  <si>
    <t>53.5512° N, 1.3336° E</t>
  </si>
  <si>
    <t>Siemens Gamesa 8MW SG 8.0-167 DD</t>
  </si>
  <si>
    <t>53.37608° N, 0.71347° E</t>
  </si>
  <si>
    <t>Vestas V112-3.0</t>
  </si>
  <si>
    <t>57.484285° N, -1.35000° W</t>
  </si>
  <si>
    <t>Compared to actual data</t>
  </si>
  <si>
    <t xml:space="preserve">53.189072° N, 0.411894° E
</t>
  </si>
  <si>
    <t>Within +/- 2.5%</t>
  </si>
  <si>
    <t>51.4606° N, 1.0938° E</t>
  </si>
  <si>
    <t>Between +/- 2.5 - 5%</t>
  </si>
  <si>
    <t>51.4500° N, 1.0800° E</t>
  </si>
  <si>
    <t>Over +/- 5%</t>
  </si>
  <si>
    <t>56.9973° N, -1.8738° W</t>
  </si>
  <si>
    <t>53.1842° N, 0.4981° E</t>
  </si>
  <si>
    <t>51.6268° N, 1.4960° E</t>
  </si>
  <si>
    <t>53.1367° N, 0.4361° E</t>
  </si>
  <si>
    <t>58.118302° N, -2.731944° W</t>
  </si>
  <si>
    <t>53.417° N, -3.453° W</t>
  </si>
  <si>
    <t>54.0889° N, -3.4386° W</t>
  </si>
  <si>
    <t>53.2766° N, 0.8427° E</t>
  </si>
  <si>
    <t>50.6703° N, -0.2700° W</t>
  </si>
  <si>
    <t>53.3776° N, -3.6402° W</t>
  </si>
  <si>
    <t>54.7642° N, -3.6955° W</t>
  </si>
  <si>
    <t>54.7473° N, -3.7293° W</t>
  </si>
  <si>
    <t>52.645725° N, 1.786972° E</t>
  </si>
  <si>
    <t>56.6355° N, -1.9266° W</t>
  </si>
  <si>
    <t>54.6453° N, -1.0955° W</t>
  </si>
  <si>
    <t>51.4299° N, 1.6334° E</t>
  </si>
  <si>
    <t>Vestas V90-3.0</t>
  </si>
  <si>
    <t>53.4667° N, 0.9000° E</t>
  </si>
  <si>
    <t>54.0394° N, -3.5158° W</t>
  </si>
  <si>
    <t>54.0807° N, -3.6090° W</t>
  </si>
  <si>
    <t>54.0900° N, -3.7400° W</t>
  </si>
  <si>
    <t>54.0876° N, -3.7400° W</t>
  </si>
  <si>
    <t>53.9851° N, -3.4620° W</t>
  </si>
  <si>
    <t>53.805882° N, 0.5615° E</t>
  </si>
  <si>
    <t>Average Capacity factor (%)</t>
  </si>
  <si>
    <t>Number of Wind Farms</t>
  </si>
  <si>
    <t>V164-10MW</t>
  </si>
  <si>
    <t>V164-9.525 MW</t>
  </si>
  <si>
    <t>V112-3.45 MW</t>
  </si>
  <si>
    <t>V164-8.0 MW</t>
  </si>
  <si>
    <t>V112-3.0 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</si>
</sst>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293E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4" fontId="3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2" xfId="0" applyAlignment="1" applyFont="1" applyNumberFormat="1">
      <alignment readingOrder="0" shrinkToFit="0" vertical="center" wrapText="0"/>
    </xf>
    <xf borderId="0" fillId="5" fontId="1" numFmtId="2" xfId="0" applyAlignment="1" applyFont="1" applyNumberFormat="1">
      <alignment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2" xfId="0" applyAlignment="1" applyFont="1" applyNumberFormat="1">
      <alignment readingOrder="0" shrinkToFit="0" vertical="center" wrapText="0"/>
    </xf>
    <xf borderId="0" fillId="6" fontId="1" numFmtId="2" xfId="0" applyAlignment="1" applyFont="1" applyNumberFormat="1">
      <alignment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7" fontId="1" numFmtId="2" xfId="0" applyAlignment="1" applyFont="1" applyNumberFormat="1">
      <alignment readingOrder="0" shrinkToFit="0" vertical="center" wrapText="0"/>
    </xf>
    <xf borderId="0" fillId="7" fontId="1" numFmtId="2" xfId="0" applyAlignment="1" applyFont="1" applyNumberFormat="1">
      <alignment shrinkToFit="0" vertical="center" wrapText="0"/>
    </xf>
    <xf borderId="0" fillId="7" fontId="3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vertical="center"/>
    </xf>
    <xf borderId="0" fillId="0" fontId="1" numFmtId="2" xfId="0" applyFont="1" applyNumberFormat="1"/>
    <xf borderId="0" fillId="6" fontId="1" numFmtId="0" xfId="0" applyAlignment="1" applyFont="1">
      <alignment readingOrder="0" vertical="center"/>
    </xf>
    <xf borderId="0" fillId="7" fontId="1" numFmtId="0" xfId="0" applyAlignment="1" applyFont="1">
      <alignment readingOrder="0" vertical="center"/>
    </xf>
    <xf borderId="0" fillId="8" fontId="1" numFmtId="0" xfId="0" applyAlignment="1" applyFill="1" applyFont="1">
      <alignment readingOrder="0" shrinkToFit="0" vertical="center" wrapText="0"/>
    </xf>
    <xf borderId="0" fillId="8" fontId="1" numFmtId="2" xfId="0" applyAlignment="1" applyFont="1" applyNumberFormat="1">
      <alignment readingOrder="0" shrinkToFit="0" vertical="center" wrapText="0"/>
    </xf>
    <xf borderId="0" fillId="8" fontId="1" numFmtId="2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Sheet4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Sheet5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5" displayName="Table3" name="Table3" id="1">
  <tableColumns count="13">
    <tableColumn name="Name" id="1"/>
    <tableColumn name="Capacity (MW)" id="2"/>
    <tableColumn name="Internal Array Cable Length (km)" id="3"/>
    <tableColumn name="Export Cable Length (km)" id="4"/>
    <tableColumn name="Current (A)" id="5"/>
    <tableColumn name="Resistance of Array Cables (ꭥ)" id="6"/>
    <tableColumn name="Array Power Loss (W)" id="7"/>
    <tableColumn name="Array Electrical Loss (%)" id="8"/>
    <tableColumn name="Resistance of Export Cables (ꭥ)" id="9"/>
    <tableColumn name="Export Power Loss (W)" id="10"/>
    <tableColumn name="Export Cable Loss (%)" id="11"/>
    <tableColumn name="Transformer Loss (%)" id="12"/>
    <tableColumn name="Total Electrical Loss (%)" id="1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F45" displayName="Table1" name="Table1" id="2">
  <autoFilter ref="$A$1:$F$45"/>
  <tableColumns count="6">
    <tableColumn name="Name" id="1"/>
    <tableColumn name="Location" id="2"/>
    <tableColumn name="Turbine Type" id="3"/>
    <tableColumn name="Fixed/Floating" id="4"/>
    <tableColumn name="Capacity (MW)" id="5"/>
    <tableColumn name="Capacity Factor (%)" id="6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1:I46" displayName="Table2" name="Table2" id="3">
  <autoFilter ref="$A$1:$I$46"/>
  <tableColumns count="9">
    <tableColumn name="Name" id="1"/>
    <tableColumn name="Location" id="2"/>
    <tableColumn name="Latitude &amp; Longitude" id="3"/>
    <tableColumn name="Turbine Type" id="4"/>
    <tableColumn name="Renewables Ninja Capacity Factor (%)" id="5"/>
    <tableColumn name="Array Losses (%)" id="6"/>
    <tableColumn name="Electrical Losses (%)" id="7"/>
    <tableColumn name="Downtime (%)" id="8"/>
    <tableColumn name="Calculated overall Capacity Factor" id="9"/>
  </tableColumns>
  <tableStyleInfo name="Sheet3-style" showColumnStripes="0" showFirstColumn="1" showLastColumn="1" showRowStripes="1"/>
</table>
</file>

<file path=xl/tables/table4.xml><?xml version="1.0" encoding="utf-8"?>
<table xmlns="http://schemas.openxmlformats.org/spreadsheetml/2006/main" totalsRowCount="1" ref="A1:C18" displayName="Table4" name="Table4" id="4">
  <tableColumns count="3">
    <tableColumn name="Turbine Type" id="1"/>
    <tableColumn totalsRowFunction="custom" name="Average Capacity factor (%)" id="2"/>
    <tableColumn totalsRowFunction="custom" name="Number of Wind Farms" id="3"/>
  </tableColumns>
  <tableStyleInfo name="Sheet4-style" showColumnStripes="0" showFirstColumn="1" showLastColumn="1" showRowStripes="1"/>
</table>
</file>

<file path=xl/tables/table5.xml><?xml version="1.0" encoding="utf-8"?>
<table xmlns="http://schemas.openxmlformats.org/spreadsheetml/2006/main" totalsRowCount="1" ref="A1:C14" displayName="Table5" name="Table5" id="5">
  <tableColumns count="3">
    <tableColumn name="Location" id="1"/>
    <tableColumn totalsRowFunction="custom" name="Average Capacity factor (%)" id="2"/>
    <tableColumn totalsRowFunction="custom" name="Number of Wind Farms" id="3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crownestate.co.uk/our-business/marine/offshore-wind/offshore-wind-map" TargetMode="External"/><Relationship Id="rId2" Type="http://schemas.openxmlformats.org/officeDocument/2006/relationships/hyperlink" Target="https://www.windtable.co.uk/data" TargetMode="External"/><Relationship Id="rId3" Type="http://schemas.openxmlformats.org/officeDocument/2006/relationships/hyperlink" Target="https://energynumbers.info/uk-offshore-wind-capacity-factors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>
        <v>92.4</v>
      </c>
      <c r="C2" s="2">
        <v>21.0</v>
      </c>
      <c r="D2" s="2">
        <v>4.0</v>
      </c>
      <c r="E2" s="3">
        <f>(B2*10^6)/(SQRT(3)*66*10^3)</f>
        <v>808.2903769</v>
      </c>
      <c r="F2" s="3">
        <f>0.06*C2</f>
        <v>1.26</v>
      </c>
      <c r="G2" s="3">
        <f t="shared" ref="G2:G45" si="1">((E2)^2)*F2</f>
        <v>823200</v>
      </c>
      <c r="H2" s="3">
        <f t="shared" ref="H2:H45" si="2">((G2)/(B2*10^6))*100</f>
        <v>0.8909090909</v>
      </c>
      <c r="I2" s="3">
        <f t="shared" ref="I2:I3" si="3">0.02*D2</f>
        <v>0.08</v>
      </c>
      <c r="J2" s="3">
        <f t="shared" ref="J2:J45" si="4">((E2)^2)*I2</f>
        <v>52266.66667</v>
      </c>
      <c r="K2" s="3">
        <f t="shared" ref="K2:K45" si="5">((J2)/(B2*10^6))*100</f>
        <v>0.05656565657</v>
      </c>
      <c r="L2" s="2">
        <v>1.0</v>
      </c>
      <c r="M2" s="2">
        <f t="shared" ref="M2:M45" si="6">SUM(H2,K2,L2)</f>
        <v>1.947474747</v>
      </c>
    </row>
    <row r="3" ht="22.5" customHeight="1">
      <c r="A3" s="2" t="s">
        <v>14</v>
      </c>
      <c r="B3" s="2">
        <v>41.5</v>
      </c>
      <c r="C3" s="2">
        <v>15.0</v>
      </c>
      <c r="D3" s="2">
        <v>30.0</v>
      </c>
      <c r="E3" s="3">
        <f t="shared" ref="E3:E4" si="7">(B3*10^6)/(SQRT(3)*33*10^3)</f>
        <v>726.0617022</v>
      </c>
      <c r="F3" s="3">
        <f>(0.06*C3)/4</f>
        <v>0.225</v>
      </c>
      <c r="G3" s="3">
        <f t="shared" si="1"/>
        <v>118612.259</v>
      </c>
      <c r="H3" s="3">
        <f t="shared" si="2"/>
        <v>0.2858126722</v>
      </c>
      <c r="I3" s="3">
        <f t="shared" si="3"/>
        <v>0.6</v>
      </c>
      <c r="J3" s="3">
        <f t="shared" si="4"/>
        <v>316299.3572</v>
      </c>
      <c r="K3" s="3">
        <f t="shared" si="5"/>
        <v>0.7621671258</v>
      </c>
      <c r="L3" s="2">
        <v>1.0</v>
      </c>
      <c r="M3" s="2">
        <f t="shared" si="6"/>
        <v>2.047979798</v>
      </c>
    </row>
    <row r="4" ht="22.5" customHeight="1">
      <c r="A4" s="4" t="s">
        <v>15</v>
      </c>
      <c r="B4" s="4">
        <v>588.0</v>
      </c>
      <c r="C4" s="4">
        <v>180.0</v>
      </c>
      <c r="D4" s="4">
        <v>70.0</v>
      </c>
      <c r="E4" s="5">
        <f t="shared" si="7"/>
        <v>10287.33207</v>
      </c>
      <c r="F4" s="5">
        <f>(0.06*C4)/7</f>
        <v>1.542857143</v>
      </c>
      <c r="G4" s="5">
        <f t="shared" si="1"/>
        <v>163279338.8</v>
      </c>
      <c r="H4" s="5">
        <f t="shared" si="2"/>
        <v>27.76859504</v>
      </c>
      <c r="I4" s="5">
        <f>(0.02*D4)/2</f>
        <v>0.7</v>
      </c>
      <c r="J4" s="5">
        <f t="shared" si="4"/>
        <v>74080440.77</v>
      </c>
      <c r="K4" s="5">
        <f t="shared" si="5"/>
        <v>12.59871442</v>
      </c>
      <c r="L4" s="4">
        <v>1.0</v>
      </c>
      <c r="M4" s="4">
        <f t="shared" si="6"/>
        <v>41.36730946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22.5" customHeight="1">
      <c r="A5" s="2" t="s">
        <v>16</v>
      </c>
      <c r="B5" s="2">
        <v>41.5</v>
      </c>
      <c r="C5" s="2">
        <v>11.0</v>
      </c>
      <c r="D5" s="2">
        <v>8.0</v>
      </c>
      <c r="E5" s="3">
        <f t="shared" ref="E5:E7" si="8">(B5*10^6)/(SQRT(3)*66*10^3)</f>
        <v>363.0308511</v>
      </c>
      <c r="F5" s="3">
        <f>0.06*C5</f>
        <v>0.66</v>
      </c>
      <c r="G5" s="3">
        <f t="shared" si="1"/>
        <v>86982.32323</v>
      </c>
      <c r="H5" s="3">
        <f t="shared" si="2"/>
        <v>0.2095959596</v>
      </c>
      <c r="I5" s="3">
        <f>0.02*D5</f>
        <v>0.16</v>
      </c>
      <c r="J5" s="3">
        <f t="shared" si="4"/>
        <v>21086.62381</v>
      </c>
      <c r="K5" s="3">
        <f t="shared" si="5"/>
        <v>0.05081114172</v>
      </c>
      <c r="L5" s="2">
        <v>1.0</v>
      </c>
      <c r="M5" s="2">
        <f t="shared" si="6"/>
        <v>1.260407101</v>
      </c>
    </row>
    <row r="6" ht="22.5" customHeight="1">
      <c r="A6" s="2" t="s">
        <v>17</v>
      </c>
      <c r="B6" s="2">
        <v>90.0</v>
      </c>
      <c r="C6" s="2">
        <v>51.5</v>
      </c>
      <c r="D6" s="2">
        <v>36.0</v>
      </c>
      <c r="E6" s="3">
        <f t="shared" si="8"/>
        <v>787.2958216</v>
      </c>
      <c r="F6" s="3">
        <f>(0.06*C6)/4</f>
        <v>0.7725</v>
      </c>
      <c r="G6" s="3">
        <f t="shared" si="1"/>
        <v>478822.314</v>
      </c>
      <c r="H6" s="3">
        <f t="shared" si="2"/>
        <v>0.5320247934</v>
      </c>
      <c r="I6" s="3">
        <f>(0.02*D6)/3</f>
        <v>0.24</v>
      </c>
      <c r="J6" s="3">
        <f t="shared" si="4"/>
        <v>148760.3306</v>
      </c>
      <c r="K6" s="3">
        <f t="shared" si="5"/>
        <v>0.1652892562</v>
      </c>
      <c r="L6" s="2">
        <v>1.0</v>
      </c>
      <c r="M6" s="2">
        <f t="shared" si="6"/>
        <v>1.69731405</v>
      </c>
    </row>
    <row r="7" ht="22.5" customHeight="1">
      <c r="A7" s="2" t="s">
        <v>18</v>
      </c>
      <c r="B7" s="2">
        <v>258.0</v>
      </c>
      <c r="C7" s="2">
        <v>51.5</v>
      </c>
      <c r="D7" s="2">
        <v>36.0</v>
      </c>
      <c r="E7" s="3">
        <f t="shared" si="8"/>
        <v>2256.914689</v>
      </c>
      <c r="F7" s="3">
        <f>(0.06*C7)/8</f>
        <v>0.38625</v>
      </c>
      <c r="G7" s="3">
        <f t="shared" si="1"/>
        <v>1967427.686</v>
      </c>
      <c r="H7" s="3">
        <f t="shared" si="2"/>
        <v>0.7625688705</v>
      </c>
      <c r="I7" s="3">
        <f>0.02*D7</f>
        <v>0.72</v>
      </c>
      <c r="J7" s="3">
        <f t="shared" si="4"/>
        <v>3667438.017</v>
      </c>
      <c r="K7" s="3">
        <f t="shared" si="5"/>
        <v>1.421487603</v>
      </c>
      <c r="L7" s="2">
        <v>1.0</v>
      </c>
      <c r="M7" s="2">
        <f t="shared" si="6"/>
        <v>3.184056474</v>
      </c>
    </row>
    <row r="8" ht="22.5" customHeight="1">
      <c r="A8" s="4" t="s">
        <v>19</v>
      </c>
      <c r="B8" s="4">
        <v>402.0</v>
      </c>
      <c r="C8" s="4">
        <v>100.0</v>
      </c>
      <c r="D8" s="4">
        <v>89.0</v>
      </c>
      <c r="E8" s="5">
        <f>(B8*10^6)/(SQRT(3)*33*10^3)</f>
        <v>7033.176006</v>
      </c>
      <c r="F8" s="5">
        <f>(0.06*C8)/12</f>
        <v>0.5</v>
      </c>
      <c r="G8" s="5">
        <f t="shared" si="1"/>
        <v>24732782.37</v>
      </c>
      <c r="H8" s="5">
        <f t="shared" si="2"/>
        <v>6.152433425</v>
      </c>
      <c r="I8" s="5">
        <f t="shared" ref="I8:I10" si="9">(0.02*D8)/2</f>
        <v>0.89</v>
      </c>
      <c r="J8" s="5">
        <f t="shared" si="4"/>
        <v>44024352.62</v>
      </c>
      <c r="K8" s="5">
        <f t="shared" si="5"/>
        <v>10.9513315</v>
      </c>
      <c r="L8" s="4">
        <v>1.0</v>
      </c>
      <c r="M8" s="4">
        <f t="shared" si="6"/>
        <v>18.10376492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ht="22.5" customHeight="1">
      <c r="A9" s="2" t="s">
        <v>20</v>
      </c>
      <c r="B9" s="2">
        <v>714.0</v>
      </c>
      <c r="C9" s="2">
        <v>155.0</v>
      </c>
      <c r="D9" s="2">
        <v>85.0</v>
      </c>
      <c r="E9" s="3">
        <f t="shared" ref="E9:E13" si="10">(B9*10^6)/(SQRT(3)*66*10^3)</f>
        <v>6245.880185</v>
      </c>
      <c r="F9" s="3">
        <f>(0.06*C9)/14</f>
        <v>0.6642857143</v>
      </c>
      <c r="G9" s="3">
        <f t="shared" si="1"/>
        <v>25914462.81</v>
      </c>
      <c r="H9" s="3">
        <f t="shared" si="2"/>
        <v>3.629476584</v>
      </c>
      <c r="I9" s="3">
        <f t="shared" si="9"/>
        <v>0.85</v>
      </c>
      <c r="J9" s="3">
        <f t="shared" si="4"/>
        <v>33159366.39</v>
      </c>
      <c r="K9" s="3">
        <f t="shared" si="5"/>
        <v>4.644168962</v>
      </c>
      <c r="L9" s="2">
        <v>1.0</v>
      </c>
      <c r="M9" s="2">
        <f t="shared" si="6"/>
        <v>9.273645546</v>
      </c>
    </row>
    <row r="10" ht="22.5" customHeight="1">
      <c r="A10" s="2" t="s">
        <v>21</v>
      </c>
      <c r="B10" s="2">
        <v>352.0</v>
      </c>
      <c r="C10" s="2">
        <v>140.0</v>
      </c>
      <c r="D10" s="2">
        <v>45.0</v>
      </c>
      <c r="E10" s="3">
        <f t="shared" si="10"/>
        <v>3079.201436</v>
      </c>
      <c r="F10" s="3">
        <f>(0.06*C10)/21</f>
        <v>0.4</v>
      </c>
      <c r="G10" s="3">
        <f t="shared" si="1"/>
        <v>3792592.593</v>
      </c>
      <c r="H10" s="3">
        <f t="shared" si="2"/>
        <v>1.077441077</v>
      </c>
      <c r="I10" s="3">
        <f t="shared" si="9"/>
        <v>0.45</v>
      </c>
      <c r="J10" s="3">
        <f t="shared" si="4"/>
        <v>4266666.667</v>
      </c>
      <c r="K10" s="3">
        <f t="shared" si="5"/>
        <v>1.212121212</v>
      </c>
      <c r="L10" s="2">
        <v>1.0</v>
      </c>
      <c r="M10" s="2">
        <f t="shared" si="6"/>
        <v>3.28956229</v>
      </c>
    </row>
    <row r="11" ht="22.5" customHeight="1">
      <c r="A11" s="2" t="s">
        <v>22</v>
      </c>
      <c r="B11" s="2">
        <v>504.0</v>
      </c>
      <c r="C11" s="2">
        <v>200.0</v>
      </c>
      <c r="D11" s="2">
        <v>45.0</v>
      </c>
      <c r="E11" s="3">
        <f t="shared" si="10"/>
        <v>4408.856601</v>
      </c>
      <c r="F11" s="3">
        <f>(0.06*C11)/11</f>
        <v>1.090909091</v>
      </c>
      <c r="G11" s="3">
        <f t="shared" si="1"/>
        <v>21205108.94</v>
      </c>
      <c r="H11" s="3">
        <f t="shared" si="2"/>
        <v>4.207362885</v>
      </c>
      <c r="I11" s="3">
        <f>(0.02*D11)/3</f>
        <v>0.3</v>
      </c>
      <c r="J11" s="3">
        <f t="shared" si="4"/>
        <v>5831404.959</v>
      </c>
      <c r="K11" s="3">
        <f t="shared" si="5"/>
        <v>1.157024793</v>
      </c>
      <c r="L11" s="2">
        <v>1.0</v>
      </c>
      <c r="M11" s="2">
        <f t="shared" si="6"/>
        <v>6.364387678</v>
      </c>
    </row>
    <row r="12" ht="22.5" customHeight="1">
      <c r="A12" s="2" t="s">
        <v>23</v>
      </c>
      <c r="B12" s="2">
        <v>108.0</v>
      </c>
      <c r="C12" s="2">
        <v>25.0</v>
      </c>
      <c r="D12" s="2">
        <v>13.0</v>
      </c>
      <c r="E12" s="3">
        <f t="shared" si="10"/>
        <v>944.7549859</v>
      </c>
      <c r="F12" s="3">
        <f t="shared" ref="F12:F13" si="11">0.06*C12</f>
        <v>1.5</v>
      </c>
      <c r="G12" s="3">
        <f t="shared" si="1"/>
        <v>1338842.975</v>
      </c>
      <c r="H12" s="3">
        <f t="shared" si="2"/>
        <v>1.239669421</v>
      </c>
      <c r="I12" s="3">
        <f t="shared" ref="I12:I13" si="12">0.02*D12</f>
        <v>0.26</v>
      </c>
      <c r="J12" s="3">
        <f t="shared" si="4"/>
        <v>232066.1157</v>
      </c>
      <c r="K12" s="3">
        <f t="shared" si="5"/>
        <v>0.2148760331</v>
      </c>
      <c r="L12" s="2">
        <v>1.0</v>
      </c>
      <c r="M12" s="2">
        <f t="shared" si="6"/>
        <v>2.454545455</v>
      </c>
    </row>
    <row r="13" ht="22.5" customHeight="1">
      <c r="A13" s="2" t="s">
        <v>24</v>
      </c>
      <c r="B13" s="2">
        <v>65.0</v>
      </c>
      <c r="C13" s="2">
        <v>15.0</v>
      </c>
      <c r="D13" s="2">
        <v>13.0</v>
      </c>
      <c r="E13" s="3">
        <f t="shared" si="10"/>
        <v>568.6025378</v>
      </c>
      <c r="F13" s="3">
        <f t="shared" si="11"/>
        <v>0.9</v>
      </c>
      <c r="G13" s="3">
        <f t="shared" si="1"/>
        <v>290977.9614</v>
      </c>
      <c r="H13" s="3">
        <f t="shared" si="2"/>
        <v>0.4476584022</v>
      </c>
      <c r="I13" s="3">
        <f t="shared" si="12"/>
        <v>0.26</v>
      </c>
      <c r="J13" s="3">
        <f t="shared" si="4"/>
        <v>84060.29997</v>
      </c>
      <c r="K13" s="3">
        <f t="shared" si="5"/>
        <v>0.1293235384</v>
      </c>
      <c r="L13" s="2">
        <v>1.0</v>
      </c>
      <c r="M13" s="2">
        <f t="shared" si="6"/>
        <v>1.576981941</v>
      </c>
    </row>
    <row r="14" ht="22.5" customHeight="1">
      <c r="A14" s="2" t="s">
        <v>25</v>
      </c>
      <c r="B14" s="2">
        <v>576.0</v>
      </c>
      <c r="C14" s="2">
        <v>174.0</v>
      </c>
      <c r="D14" s="2">
        <v>20.2</v>
      </c>
      <c r="E14" s="3">
        <f>(B14*10^6)/(SQRT(3)*33*10^3)</f>
        <v>10077.38652</v>
      </c>
      <c r="F14" s="3">
        <f>(0.06*C14)/39</f>
        <v>0.2676923077</v>
      </c>
      <c r="G14" s="3">
        <f t="shared" si="1"/>
        <v>27185149.4</v>
      </c>
      <c r="H14" s="3">
        <f t="shared" si="2"/>
        <v>4.719643992</v>
      </c>
      <c r="I14" s="3">
        <f>(0.02*D14)/4</f>
        <v>0.101</v>
      </c>
      <c r="J14" s="3">
        <f t="shared" si="4"/>
        <v>10256925.62</v>
      </c>
      <c r="K14" s="3">
        <f t="shared" si="5"/>
        <v>1.780716253</v>
      </c>
      <c r="L14" s="2">
        <v>1.0</v>
      </c>
      <c r="M14" s="2">
        <f t="shared" si="6"/>
        <v>7.500360246</v>
      </c>
    </row>
    <row r="15" ht="22.5" customHeight="1">
      <c r="A15" s="4" t="s">
        <v>26</v>
      </c>
      <c r="B15" s="4">
        <v>1218.0</v>
      </c>
      <c r="C15" s="4">
        <v>900.0</v>
      </c>
      <c r="D15" s="4">
        <v>120.0</v>
      </c>
      <c r="E15" s="5">
        <f t="shared" ref="E15:E16" si="13">(B15*10^6)/(SQRT(3)*66*10^3)</f>
        <v>10654.73679</v>
      </c>
      <c r="F15" s="5">
        <f>(0.06*C15)/44</f>
        <v>1.227272727</v>
      </c>
      <c r="G15" s="5">
        <f t="shared" si="1"/>
        <v>139324192.3</v>
      </c>
      <c r="H15" s="5">
        <f t="shared" si="2"/>
        <v>11.43876784</v>
      </c>
      <c r="I15" s="5">
        <f t="shared" ref="I15:I16" si="14">(0.02*D15)/3</f>
        <v>0.8</v>
      </c>
      <c r="J15" s="5">
        <f t="shared" si="4"/>
        <v>90818732.78</v>
      </c>
      <c r="K15" s="5">
        <f t="shared" si="5"/>
        <v>7.456382002</v>
      </c>
      <c r="L15" s="4">
        <v>1.0</v>
      </c>
      <c r="M15" s="4">
        <f t="shared" si="6"/>
        <v>19.89514985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ht="22.5" customHeight="1">
      <c r="A16" s="4" t="s">
        <v>27</v>
      </c>
      <c r="B16" s="4">
        <v>1300.0</v>
      </c>
      <c r="C16" s="4">
        <v>420.0</v>
      </c>
      <c r="D16" s="4">
        <v>89.0</v>
      </c>
      <c r="E16" s="5">
        <f t="shared" si="13"/>
        <v>11372.05076</v>
      </c>
      <c r="F16" s="5">
        <f>(0.06*C16)/26</f>
        <v>0.9692307692</v>
      </c>
      <c r="G16" s="5">
        <f t="shared" si="1"/>
        <v>125344352.6</v>
      </c>
      <c r="H16" s="5">
        <f t="shared" si="2"/>
        <v>9.641873278</v>
      </c>
      <c r="I16" s="5">
        <f t="shared" si="14"/>
        <v>0.5933333333</v>
      </c>
      <c r="J16" s="5">
        <f t="shared" si="4"/>
        <v>76731966.13</v>
      </c>
      <c r="K16" s="5">
        <f t="shared" si="5"/>
        <v>5.902458933</v>
      </c>
      <c r="L16" s="4">
        <v>1.0</v>
      </c>
      <c r="M16" s="4">
        <f t="shared" si="6"/>
        <v>16.54433221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ht="22.5" customHeight="1">
      <c r="A17" s="7" t="s">
        <v>28</v>
      </c>
      <c r="B17" s="7">
        <v>219.0</v>
      </c>
      <c r="C17" s="7">
        <v>82.0</v>
      </c>
      <c r="D17" s="7">
        <v>39.0</v>
      </c>
      <c r="E17" s="8">
        <f>(B17*10^6)/(SQRT(3)*33*10^3)</f>
        <v>3831.506332</v>
      </c>
      <c r="F17" s="8">
        <f>(0.06*C17)/4</f>
        <v>1.23</v>
      </c>
      <c r="G17" s="8">
        <f t="shared" si="1"/>
        <v>18056942.15</v>
      </c>
      <c r="H17" s="8">
        <f t="shared" si="2"/>
        <v>8.245179063</v>
      </c>
      <c r="I17" s="8">
        <f>(0.02*D17)/2</f>
        <v>0.39</v>
      </c>
      <c r="J17" s="8">
        <f t="shared" si="4"/>
        <v>5725371.901</v>
      </c>
      <c r="K17" s="8">
        <f t="shared" si="5"/>
        <v>2.614325069</v>
      </c>
      <c r="L17" s="7">
        <v>1.0</v>
      </c>
      <c r="M17" s="7">
        <f t="shared" si="6"/>
        <v>11.85950413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ht="22.5" customHeight="1">
      <c r="A18" s="2" t="s">
        <v>29</v>
      </c>
      <c r="B18" s="2">
        <v>30.0</v>
      </c>
      <c r="C18" s="2">
        <v>27.5</v>
      </c>
      <c r="D18" s="2">
        <v>30.0</v>
      </c>
      <c r="E18" s="3">
        <f t="shared" ref="E18:E19" si="15">(B18*10^6)/(SQRT(3)*66*10^3)</f>
        <v>262.4319405</v>
      </c>
      <c r="F18" s="3">
        <f>(0.06*C18)/2</f>
        <v>0.825</v>
      </c>
      <c r="G18" s="3">
        <f t="shared" si="1"/>
        <v>56818.18182</v>
      </c>
      <c r="H18" s="3">
        <f t="shared" si="2"/>
        <v>0.1893939394</v>
      </c>
      <c r="I18" s="3">
        <f>0.02*D18</f>
        <v>0.6</v>
      </c>
      <c r="J18" s="3">
        <f t="shared" si="4"/>
        <v>41322.31405</v>
      </c>
      <c r="K18" s="3">
        <f t="shared" si="5"/>
        <v>0.1377410468</v>
      </c>
      <c r="L18" s="2">
        <v>1.0</v>
      </c>
      <c r="M18" s="2">
        <f t="shared" si="6"/>
        <v>1.327134986</v>
      </c>
    </row>
    <row r="19" ht="22.5" customHeight="1">
      <c r="A19" s="2" t="s">
        <v>30</v>
      </c>
      <c r="B19" s="2">
        <v>97.0</v>
      </c>
      <c r="C19" s="2">
        <v>32.0</v>
      </c>
      <c r="D19" s="2">
        <v>30.0</v>
      </c>
      <c r="E19" s="3">
        <f t="shared" si="15"/>
        <v>848.5299411</v>
      </c>
      <c r="F19" s="3">
        <f>(0.06*C19)/7</f>
        <v>0.2742857143</v>
      </c>
      <c r="G19" s="3">
        <f t="shared" si="1"/>
        <v>197486.5539</v>
      </c>
      <c r="H19" s="3">
        <f t="shared" si="2"/>
        <v>0.2035943854</v>
      </c>
      <c r="I19" s="3">
        <f t="shared" ref="I19:I20" si="16">(0.02*D19)/3</f>
        <v>0.2</v>
      </c>
      <c r="J19" s="3">
        <f t="shared" si="4"/>
        <v>144000.6122</v>
      </c>
      <c r="K19" s="3">
        <f t="shared" si="5"/>
        <v>0.1484542394</v>
      </c>
      <c r="L19" s="2">
        <v>1.0</v>
      </c>
      <c r="M19" s="2">
        <f t="shared" si="6"/>
        <v>1.352048625</v>
      </c>
    </row>
    <row r="20" ht="22.5" customHeight="1">
      <c r="A20" s="2" t="s">
        <v>31</v>
      </c>
      <c r="B20" s="2">
        <v>90.0</v>
      </c>
      <c r="C20" s="2">
        <v>25.0</v>
      </c>
      <c r="D20" s="2">
        <v>18.0</v>
      </c>
      <c r="E20" s="3">
        <f t="shared" ref="E20:E24" si="17">(B20*10^6)/(SQRT(3)*33*10^3)</f>
        <v>1574.591643</v>
      </c>
      <c r="F20" s="3">
        <f>(0.06*C20)/6</f>
        <v>0.25</v>
      </c>
      <c r="G20" s="3">
        <f t="shared" si="1"/>
        <v>619834.7107</v>
      </c>
      <c r="H20" s="3">
        <f t="shared" si="2"/>
        <v>0.6887052342</v>
      </c>
      <c r="I20" s="3">
        <f t="shared" si="16"/>
        <v>0.12</v>
      </c>
      <c r="J20" s="3">
        <f t="shared" si="4"/>
        <v>297520.6612</v>
      </c>
      <c r="K20" s="3">
        <f t="shared" si="5"/>
        <v>0.3305785124</v>
      </c>
      <c r="L20" s="2">
        <v>1.0</v>
      </c>
      <c r="M20" s="2">
        <f t="shared" si="6"/>
        <v>2.019283747</v>
      </c>
    </row>
    <row r="21" ht="22.5" customHeight="1">
      <c r="A21" s="2" t="s">
        <v>32</v>
      </c>
      <c r="B21" s="2">
        <v>50.0</v>
      </c>
      <c r="C21" s="2">
        <v>12.0</v>
      </c>
      <c r="D21" s="2">
        <v>18.0</v>
      </c>
      <c r="E21" s="3">
        <f t="shared" si="17"/>
        <v>874.7731351</v>
      </c>
      <c r="F21" s="3">
        <f>(0.06*C21)/4</f>
        <v>0.18</v>
      </c>
      <c r="G21" s="3">
        <f t="shared" si="1"/>
        <v>137741.0468</v>
      </c>
      <c r="H21" s="3">
        <f t="shared" si="2"/>
        <v>0.2754820937</v>
      </c>
      <c r="I21" s="3">
        <f t="shared" ref="I21:I23" si="18">(0.02*D21)/2</f>
        <v>0.18</v>
      </c>
      <c r="J21" s="3">
        <f t="shared" si="4"/>
        <v>137741.0468</v>
      </c>
      <c r="K21" s="3">
        <f t="shared" si="5"/>
        <v>0.2754820937</v>
      </c>
      <c r="L21" s="2">
        <v>1.0</v>
      </c>
      <c r="M21" s="2">
        <f t="shared" si="6"/>
        <v>1.550964187</v>
      </c>
    </row>
    <row r="22" ht="22.5" customHeight="1">
      <c r="A22" s="2" t="s">
        <v>33</v>
      </c>
      <c r="B22" s="2">
        <v>50.0</v>
      </c>
      <c r="C22" s="2">
        <v>30.0</v>
      </c>
      <c r="D22" s="2">
        <v>17.0</v>
      </c>
      <c r="E22" s="3">
        <f t="shared" si="17"/>
        <v>874.7731351</v>
      </c>
      <c r="F22" s="3">
        <f>0.06*C22</f>
        <v>1.8</v>
      </c>
      <c r="G22" s="3">
        <f t="shared" si="1"/>
        <v>1377410.468</v>
      </c>
      <c r="H22" s="3">
        <f t="shared" si="2"/>
        <v>2.754820937</v>
      </c>
      <c r="I22" s="3">
        <f t="shared" si="18"/>
        <v>0.17</v>
      </c>
      <c r="J22" s="3">
        <f t="shared" si="4"/>
        <v>130088.7665</v>
      </c>
      <c r="K22" s="3">
        <f t="shared" si="5"/>
        <v>0.2601775329</v>
      </c>
      <c r="L22" s="2">
        <v>1.0</v>
      </c>
      <c r="M22" s="2">
        <f t="shared" si="6"/>
        <v>4.01499847</v>
      </c>
    </row>
    <row r="23" ht="22.5" customHeight="1">
      <c r="A23" s="2" t="s">
        <v>34</v>
      </c>
      <c r="B23" s="2">
        <v>270.0</v>
      </c>
      <c r="C23" s="2">
        <v>83.5</v>
      </c>
      <c r="D23" s="2">
        <v>60.0</v>
      </c>
      <c r="E23" s="3">
        <f t="shared" si="17"/>
        <v>4723.77493</v>
      </c>
      <c r="F23" s="3">
        <f>(0.06*C23)/16</f>
        <v>0.313125</v>
      </c>
      <c r="G23" s="3">
        <f t="shared" si="1"/>
        <v>6987086.777</v>
      </c>
      <c r="H23" s="3">
        <f t="shared" si="2"/>
        <v>2.587809917</v>
      </c>
      <c r="I23" s="3">
        <f t="shared" si="18"/>
        <v>0.6</v>
      </c>
      <c r="J23" s="3">
        <f t="shared" si="4"/>
        <v>13388429.75</v>
      </c>
      <c r="K23" s="3">
        <f t="shared" si="5"/>
        <v>4.958677686</v>
      </c>
      <c r="L23" s="2">
        <v>1.0</v>
      </c>
      <c r="M23" s="2">
        <f t="shared" si="6"/>
        <v>8.546487603</v>
      </c>
    </row>
    <row r="24" ht="22.5" customHeight="1">
      <c r="A24" s="4" t="s">
        <v>35</v>
      </c>
      <c r="B24" s="4">
        <v>630.0</v>
      </c>
      <c r="C24" s="4">
        <v>205.0</v>
      </c>
      <c r="D24" s="4">
        <v>220.0</v>
      </c>
      <c r="E24" s="5">
        <f t="shared" si="17"/>
        <v>11022.1415</v>
      </c>
      <c r="F24" s="5">
        <f>(0.06*C24)/12</f>
        <v>1.025</v>
      </c>
      <c r="G24" s="5">
        <f t="shared" si="1"/>
        <v>124524793.4</v>
      </c>
      <c r="H24" s="5">
        <f t="shared" si="2"/>
        <v>19.76584022</v>
      </c>
      <c r="I24" s="5">
        <f>(0.02*D24)/4</f>
        <v>1.1</v>
      </c>
      <c r="J24" s="5">
        <f t="shared" si="4"/>
        <v>133636363.6</v>
      </c>
      <c r="K24" s="5">
        <f t="shared" si="5"/>
        <v>21.21212121</v>
      </c>
      <c r="L24" s="4">
        <v>1.0</v>
      </c>
      <c r="M24" s="4">
        <f t="shared" si="6"/>
        <v>41.97796143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ht="22.5" customHeight="1">
      <c r="A25" s="2" t="s">
        <v>36</v>
      </c>
      <c r="B25" s="2">
        <v>97.0</v>
      </c>
      <c r="C25" s="2">
        <v>32.0</v>
      </c>
      <c r="D25" s="2">
        <v>40.0</v>
      </c>
      <c r="E25" s="3">
        <f>(B25*10^6)/(SQRT(3)*36*10^3)</f>
        <v>1555.638225</v>
      </c>
      <c r="F25" s="3">
        <f>(0.06*C25)/6</f>
        <v>0.32</v>
      </c>
      <c r="G25" s="3">
        <f t="shared" si="1"/>
        <v>774403.2922</v>
      </c>
      <c r="H25" s="3">
        <f t="shared" si="2"/>
        <v>0.7983539095</v>
      </c>
      <c r="I25" s="3">
        <f t="shared" ref="I25:I26" si="19">(0.02*D25)/3</f>
        <v>0.2666666667</v>
      </c>
      <c r="J25" s="3">
        <f t="shared" si="4"/>
        <v>645336.0768</v>
      </c>
      <c r="K25" s="3">
        <f t="shared" si="5"/>
        <v>0.6652949246</v>
      </c>
      <c r="L25" s="2">
        <v>1.0</v>
      </c>
      <c r="M25" s="2">
        <f t="shared" si="6"/>
        <v>2.463648834</v>
      </c>
    </row>
    <row r="26" ht="22.5" customHeight="1">
      <c r="A26" s="2" t="s">
        <v>37</v>
      </c>
      <c r="B26" s="2">
        <v>950.0</v>
      </c>
      <c r="C26" s="2">
        <v>70.0</v>
      </c>
      <c r="D26" s="2">
        <v>57.5</v>
      </c>
      <c r="E26" s="3">
        <f>(B26*10^6)/(SQRT(3)*66*10^3)</f>
        <v>8310.344784</v>
      </c>
      <c r="F26" s="3">
        <f>(0.06*C26)/15</f>
        <v>0.28</v>
      </c>
      <c r="G26" s="3">
        <f t="shared" si="1"/>
        <v>19337312.52</v>
      </c>
      <c r="H26" s="3">
        <f t="shared" si="2"/>
        <v>2.035506581</v>
      </c>
      <c r="I26" s="3">
        <f t="shared" si="19"/>
        <v>0.3833333333</v>
      </c>
      <c r="J26" s="3">
        <f t="shared" si="4"/>
        <v>26473701.66</v>
      </c>
      <c r="K26" s="3">
        <f t="shared" si="5"/>
        <v>2.786705438</v>
      </c>
      <c r="L26" s="2">
        <v>1.0</v>
      </c>
      <c r="M26" s="2">
        <f t="shared" si="6"/>
        <v>5.822212019</v>
      </c>
    </row>
    <row r="27" ht="22.5" customHeight="1">
      <c r="A27" s="2" t="s">
        <v>38</v>
      </c>
      <c r="B27" s="2">
        <v>60.0</v>
      </c>
      <c r="C27" s="2">
        <v>27.5</v>
      </c>
      <c r="D27" s="2">
        <v>12.0</v>
      </c>
      <c r="E27" s="3">
        <f t="shared" ref="E27:E28" si="20">(B27*10^6)/(SQRT(3)*33*10^3)</f>
        <v>1049.727762</v>
      </c>
      <c r="F27" s="3">
        <f>(0.06*C27)/4</f>
        <v>0.4125</v>
      </c>
      <c r="G27" s="3">
        <f t="shared" si="1"/>
        <v>454545.4545</v>
      </c>
      <c r="H27" s="3">
        <f t="shared" si="2"/>
        <v>0.7575757576</v>
      </c>
      <c r="I27" s="3">
        <f>(0.02*D27)/2</f>
        <v>0.12</v>
      </c>
      <c r="J27" s="3">
        <f t="shared" si="4"/>
        <v>132231.405</v>
      </c>
      <c r="K27" s="3">
        <f t="shared" si="5"/>
        <v>0.2203856749</v>
      </c>
      <c r="L27" s="2">
        <v>1.0</v>
      </c>
      <c r="M27" s="2">
        <f t="shared" si="6"/>
        <v>1.977961433</v>
      </c>
    </row>
    <row r="28" ht="22.5" customHeight="1">
      <c r="A28" s="2" t="s">
        <v>39</v>
      </c>
      <c r="B28" s="2">
        <v>150.0</v>
      </c>
      <c r="C28" s="2">
        <v>27.0</v>
      </c>
      <c r="D28" s="2">
        <v>42.5</v>
      </c>
      <c r="E28" s="3">
        <f t="shared" si="20"/>
        <v>2624.319405</v>
      </c>
      <c r="F28" s="3">
        <f>(0.06*C28)/2</f>
        <v>0.81</v>
      </c>
      <c r="G28" s="3">
        <f t="shared" si="1"/>
        <v>5578512.397</v>
      </c>
      <c r="H28" s="3">
        <f t="shared" si="2"/>
        <v>3.719008264</v>
      </c>
      <c r="I28" s="3">
        <f>0.02*D28</f>
        <v>0.85</v>
      </c>
      <c r="J28" s="3">
        <f t="shared" si="4"/>
        <v>5853994.49</v>
      </c>
      <c r="K28" s="3">
        <f t="shared" si="5"/>
        <v>3.902662994</v>
      </c>
      <c r="L28" s="2">
        <v>1.0</v>
      </c>
      <c r="M28" s="2">
        <f t="shared" si="6"/>
        <v>8.621671258</v>
      </c>
    </row>
    <row r="29" ht="22.5" customHeight="1">
      <c r="A29" s="4" t="s">
        <v>40</v>
      </c>
      <c r="B29" s="4">
        <v>574.0</v>
      </c>
      <c r="C29" s="4">
        <v>110.0</v>
      </c>
      <c r="D29" s="4">
        <v>148.0</v>
      </c>
      <c r="E29" s="5">
        <f>(B29*10^6)/(SQRT(3)*36*10^3)</f>
        <v>9205.529292</v>
      </c>
      <c r="F29" s="5">
        <f>(0.06*C29)/30</f>
        <v>0.22</v>
      </c>
      <c r="G29" s="5">
        <f t="shared" si="1"/>
        <v>18643189.3</v>
      </c>
      <c r="H29" s="5">
        <f t="shared" si="2"/>
        <v>3.247942387</v>
      </c>
      <c r="I29" s="5">
        <f t="shared" ref="I29:I30" si="21">(0.02*D29)/2</f>
        <v>1.48</v>
      </c>
      <c r="J29" s="5">
        <f t="shared" si="4"/>
        <v>125417818.9</v>
      </c>
      <c r="K29" s="5">
        <f t="shared" si="5"/>
        <v>21.84979424</v>
      </c>
      <c r="L29" s="4">
        <v>1.0</v>
      </c>
      <c r="M29" s="4">
        <f t="shared" si="6"/>
        <v>26.09773663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ht="22.5" customHeight="1">
      <c r="A30" s="2" t="s">
        <v>41</v>
      </c>
      <c r="B30" s="2">
        <v>400.2</v>
      </c>
      <c r="C30" s="2">
        <v>144.0</v>
      </c>
      <c r="D30" s="2">
        <v>16.25</v>
      </c>
      <c r="E30" s="3">
        <f>(B30*10^6)/(SQRT(3)*66*10^3)</f>
        <v>3500.842087</v>
      </c>
      <c r="F30" s="3">
        <f>(0.06*C30)/6</f>
        <v>1.44</v>
      </c>
      <c r="G30" s="3">
        <f t="shared" si="1"/>
        <v>17648489.26</v>
      </c>
      <c r="H30" s="3">
        <f t="shared" si="2"/>
        <v>4.409917355</v>
      </c>
      <c r="I30" s="3">
        <f t="shared" si="21"/>
        <v>0.1625</v>
      </c>
      <c r="J30" s="3">
        <f t="shared" si="4"/>
        <v>1991582.989</v>
      </c>
      <c r="K30" s="3">
        <f t="shared" si="5"/>
        <v>0.4976469238</v>
      </c>
      <c r="L30" s="2">
        <v>1.0</v>
      </c>
      <c r="M30" s="2">
        <f t="shared" si="6"/>
        <v>5.907564279</v>
      </c>
    </row>
    <row r="31" ht="22.5" customHeight="1">
      <c r="A31" s="2" t="s">
        <v>42</v>
      </c>
      <c r="B31" s="2">
        <v>90.0</v>
      </c>
      <c r="C31" s="2">
        <v>18.0</v>
      </c>
      <c r="D31" s="2">
        <v>14.0</v>
      </c>
      <c r="E31" s="3">
        <f t="shared" ref="E31:E34" si="22">(B31*10^6)/(SQRT(3)*33*10^3)</f>
        <v>1574.591643</v>
      </c>
      <c r="F31" s="3">
        <f>(0.06*C31)/7</f>
        <v>0.1542857143</v>
      </c>
      <c r="G31" s="3">
        <f t="shared" si="1"/>
        <v>382526.5643</v>
      </c>
      <c r="H31" s="3">
        <f t="shared" si="2"/>
        <v>0.4250295159</v>
      </c>
      <c r="I31" s="3">
        <f>(0.02*D31)/3</f>
        <v>0.09333333333</v>
      </c>
      <c r="J31" s="3">
        <f t="shared" si="4"/>
        <v>231404.9587</v>
      </c>
      <c r="K31" s="3">
        <f t="shared" si="5"/>
        <v>0.2571166208</v>
      </c>
      <c r="L31" s="2">
        <v>1.0</v>
      </c>
      <c r="M31" s="2">
        <f t="shared" si="6"/>
        <v>1.682146137</v>
      </c>
    </row>
    <row r="32" ht="22.5" customHeight="1">
      <c r="A32" s="2" t="s">
        <v>43</v>
      </c>
      <c r="B32" s="2">
        <v>90.0</v>
      </c>
      <c r="C32" s="2">
        <v>22.5</v>
      </c>
      <c r="D32" s="2">
        <v>14.75</v>
      </c>
      <c r="E32" s="3">
        <f t="shared" si="22"/>
        <v>1574.591643</v>
      </c>
      <c r="F32" s="3">
        <f t="shared" ref="F32:F33" si="23">(0.06*C32)/2</f>
        <v>0.675</v>
      </c>
      <c r="G32" s="3">
        <f t="shared" si="1"/>
        <v>1673553.719</v>
      </c>
      <c r="H32" s="3">
        <f t="shared" si="2"/>
        <v>1.859504132</v>
      </c>
      <c r="I32" s="3">
        <f t="shared" ref="I32:I33" si="24">0.02*D32</f>
        <v>0.295</v>
      </c>
      <c r="J32" s="3">
        <f t="shared" si="4"/>
        <v>731404.9587</v>
      </c>
      <c r="K32" s="3">
        <f t="shared" si="5"/>
        <v>0.8126721763</v>
      </c>
      <c r="L32" s="2">
        <v>1.0</v>
      </c>
      <c r="M32" s="2">
        <f t="shared" si="6"/>
        <v>3.672176309</v>
      </c>
    </row>
    <row r="33" ht="22.5" customHeight="1">
      <c r="A33" s="2" t="s">
        <v>44</v>
      </c>
      <c r="B33" s="2">
        <v>90.0</v>
      </c>
      <c r="C33" s="2">
        <v>22.5</v>
      </c>
      <c r="D33" s="2">
        <v>14.75</v>
      </c>
      <c r="E33" s="3">
        <f t="shared" si="22"/>
        <v>1574.591643</v>
      </c>
      <c r="F33" s="3">
        <f t="shared" si="23"/>
        <v>0.675</v>
      </c>
      <c r="G33" s="3">
        <f t="shared" si="1"/>
        <v>1673553.719</v>
      </c>
      <c r="H33" s="3">
        <f t="shared" si="2"/>
        <v>1.859504132</v>
      </c>
      <c r="I33" s="3">
        <f t="shared" si="24"/>
        <v>0.295</v>
      </c>
      <c r="J33" s="3">
        <f t="shared" si="4"/>
        <v>731404.9587</v>
      </c>
      <c r="K33" s="3">
        <f t="shared" si="5"/>
        <v>0.8126721763</v>
      </c>
      <c r="L33" s="2">
        <v>1.0</v>
      </c>
      <c r="M33" s="2">
        <f t="shared" si="6"/>
        <v>3.672176309</v>
      </c>
    </row>
    <row r="34" ht="22.5" customHeight="1">
      <c r="A34" s="2" t="s">
        <v>45</v>
      </c>
      <c r="B34" s="2">
        <v>60.0</v>
      </c>
      <c r="C34" s="2">
        <v>20.0</v>
      </c>
      <c r="D34" s="2">
        <v>12.6</v>
      </c>
      <c r="E34" s="3">
        <f t="shared" si="22"/>
        <v>1049.727762</v>
      </c>
      <c r="F34" s="3">
        <f>(0.06*C34)/3</f>
        <v>0.4</v>
      </c>
      <c r="G34" s="3">
        <f t="shared" si="1"/>
        <v>440771.3499</v>
      </c>
      <c r="H34" s="3">
        <f t="shared" si="2"/>
        <v>0.7346189164</v>
      </c>
      <c r="I34" s="3">
        <f t="shared" ref="I34:I35" si="25">(0.02*D34)/3</f>
        <v>0.084</v>
      </c>
      <c r="J34" s="3">
        <f t="shared" si="4"/>
        <v>92561.98347</v>
      </c>
      <c r="K34" s="3">
        <f t="shared" si="5"/>
        <v>0.1542699725</v>
      </c>
      <c r="L34" s="2">
        <v>1.0</v>
      </c>
      <c r="M34" s="2">
        <f t="shared" si="6"/>
        <v>1.888888889</v>
      </c>
    </row>
    <row r="35" ht="22.5" customHeight="1">
      <c r="A35" s="4" t="s">
        <v>46</v>
      </c>
      <c r="B35" s="4">
        <v>1075.0</v>
      </c>
      <c r="C35" s="4">
        <v>337.5</v>
      </c>
      <c r="D35" s="4">
        <v>130.0</v>
      </c>
      <c r="E35" s="5">
        <f>(B35*10^6)/(SQRT(3)*66*10^3)</f>
        <v>9403.811203</v>
      </c>
      <c r="F35" s="5">
        <f>(0.06*C35)/15</f>
        <v>1.35</v>
      </c>
      <c r="G35" s="5">
        <f t="shared" si="1"/>
        <v>119382747.9</v>
      </c>
      <c r="H35" s="5">
        <f t="shared" si="2"/>
        <v>11.1053719</v>
      </c>
      <c r="I35" s="5">
        <f t="shared" si="25"/>
        <v>0.8666666667</v>
      </c>
      <c r="J35" s="5">
        <f t="shared" si="4"/>
        <v>76640776.45</v>
      </c>
      <c r="K35" s="5">
        <f t="shared" si="5"/>
        <v>7.129374554</v>
      </c>
      <c r="L35" s="4">
        <v>1.0</v>
      </c>
      <c r="M35" s="4">
        <f t="shared" si="6"/>
        <v>19.23474645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22.5" customHeight="1">
      <c r="A36" s="2" t="s">
        <v>47</v>
      </c>
      <c r="B36" s="2">
        <v>317.0</v>
      </c>
      <c r="C36" s="2">
        <v>82.0</v>
      </c>
      <c r="D36" s="2">
        <v>43.6</v>
      </c>
      <c r="E36" s="3">
        <f t="shared" ref="E36:E38" si="26">(B36*10^6)/(SQRT(3)*33*10^3)</f>
        <v>5546.061677</v>
      </c>
      <c r="F36" s="3">
        <f>(0.06*C36)/12</f>
        <v>0.41</v>
      </c>
      <c r="G36" s="3">
        <f t="shared" si="1"/>
        <v>12611108.05</v>
      </c>
      <c r="H36" s="3">
        <f t="shared" si="2"/>
        <v>3.978267524</v>
      </c>
      <c r="I36" s="3">
        <f t="shared" ref="I36:I39" si="27">(0.02*D36)/2</f>
        <v>0.436</v>
      </c>
      <c r="J36" s="3">
        <f t="shared" si="4"/>
        <v>13410836.85</v>
      </c>
      <c r="K36" s="3">
        <f t="shared" si="5"/>
        <v>4.230547903</v>
      </c>
      <c r="L36" s="2">
        <v>1.0</v>
      </c>
      <c r="M36" s="2">
        <f t="shared" si="6"/>
        <v>9.208815427</v>
      </c>
    </row>
    <row r="37" ht="22.5" customHeight="1">
      <c r="A37" s="2" t="s">
        <v>48</v>
      </c>
      <c r="B37" s="2">
        <v>62.0</v>
      </c>
      <c r="C37" s="2">
        <v>27.0</v>
      </c>
      <c r="D37" s="2">
        <v>15.0</v>
      </c>
      <c r="E37" s="3">
        <f t="shared" si="26"/>
        <v>1084.718688</v>
      </c>
      <c r="F37" s="3">
        <f>(0.06*C37)/4</f>
        <v>0.405</v>
      </c>
      <c r="G37" s="3">
        <f t="shared" si="1"/>
        <v>476528.9256</v>
      </c>
      <c r="H37" s="3">
        <f t="shared" si="2"/>
        <v>0.7685950413</v>
      </c>
      <c r="I37" s="3">
        <f t="shared" si="27"/>
        <v>0.15</v>
      </c>
      <c r="J37" s="3">
        <f t="shared" si="4"/>
        <v>176492.1947</v>
      </c>
      <c r="K37" s="3">
        <f t="shared" si="5"/>
        <v>0.2846648301</v>
      </c>
      <c r="L37" s="2">
        <v>1.0</v>
      </c>
      <c r="M37" s="2">
        <f t="shared" si="6"/>
        <v>2.053259871</v>
      </c>
    </row>
    <row r="38" ht="22.5" customHeight="1">
      <c r="A38" s="2" t="s">
        <v>49</v>
      </c>
      <c r="B38" s="2">
        <v>300.0</v>
      </c>
      <c r="C38" s="2">
        <v>75.0</v>
      </c>
      <c r="D38" s="2">
        <v>28.7</v>
      </c>
      <c r="E38" s="3">
        <f t="shared" si="26"/>
        <v>5248.638811</v>
      </c>
      <c r="F38" s="3">
        <f>(0.06*C38)/21</f>
        <v>0.2142857143</v>
      </c>
      <c r="G38" s="3">
        <f t="shared" si="1"/>
        <v>5903187.721</v>
      </c>
      <c r="H38" s="3">
        <f t="shared" si="2"/>
        <v>1.96772924</v>
      </c>
      <c r="I38" s="3">
        <f t="shared" si="27"/>
        <v>0.287</v>
      </c>
      <c r="J38" s="3">
        <f t="shared" si="4"/>
        <v>7906336.088</v>
      </c>
      <c r="K38" s="3">
        <f t="shared" si="5"/>
        <v>2.635445363</v>
      </c>
      <c r="L38" s="2">
        <v>1.0</v>
      </c>
      <c r="M38" s="2">
        <f t="shared" si="6"/>
        <v>5.603174603</v>
      </c>
    </row>
    <row r="39" ht="22.5" customHeight="1">
      <c r="A39" s="7" t="s">
        <v>50</v>
      </c>
      <c r="B39" s="7">
        <v>857.0</v>
      </c>
      <c r="C39" s="7">
        <v>145.0</v>
      </c>
      <c r="D39" s="7">
        <v>107.0</v>
      </c>
      <c r="E39" s="8">
        <f>(B39*10^6)/(SQRT(3)*66*10^3)</f>
        <v>7496.805768</v>
      </c>
      <c r="F39" s="8">
        <f>(0.06*C39)/9</f>
        <v>0.9666666667</v>
      </c>
      <c r="G39" s="8">
        <f t="shared" si="1"/>
        <v>54328693.5</v>
      </c>
      <c r="H39" s="8">
        <f t="shared" si="2"/>
        <v>6.339404142</v>
      </c>
      <c r="I39" s="8">
        <f t="shared" si="27"/>
        <v>1.07</v>
      </c>
      <c r="J39" s="8">
        <f t="shared" si="4"/>
        <v>60136243.5</v>
      </c>
      <c r="K39" s="8">
        <f t="shared" si="5"/>
        <v>7.017064585</v>
      </c>
      <c r="L39" s="7">
        <v>1.0</v>
      </c>
      <c r="M39" s="7">
        <f t="shared" si="6"/>
        <v>14.35646873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ht="22.5" customHeight="1">
      <c r="A40" s="2" t="s">
        <v>51</v>
      </c>
      <c r="B40" s="2">
        <v>184.0</v>
      </c>
      <c r="C40" s="2">
        <v>92.0</v>
      </c>
      <c r="D40" s="2">
        <v>48.15</v>
      </c>
      <c r="E40" s="3">
        <f t="shared" ref="E40:E45" si="28">(B40*10^6)/(SQRT(3)*33*10^3)</f>
        <v>3219.165137</v>
      </c>
      <c r="F40" s="3">
        <f>(0.06*C40)/12</f>
        <v>0.46</v>
      </c>
      <c r="G40" s="3">
        <f t="shared" si="1"/>
        <v>4766991.123</v>
      </c>
      <c r="H40" s="3">
        <f t="shared" si="2"/>
        <v>2.590756045</v>
      </c>
      <c r="I40" s="3">
        <f t="shared" ref="I40:I41" si="29">0.02*D40</f>
        <v>0.963</v>
      </c>
      <c r="J40" s="3">
        <f t="shared" si="4"/>
        <v>9979592.287</v>
      </c>
      <c r="K40" s="3">
        <f t="shared" si="5"/>
        <v>5.42369146</v>
      </c>
      <c r="L40" s="2">
        <v>1.0</v>
      </c>
      <c r="M40" s="2">
        <f t="shared" si="6"/>
        <v>9.014447505</v>
      </c>
    </row>
    <row r="41" ht="22.5" customHeight="1">
      <c r="A41" s="2" t="s">
        <v>52</v>
      </c>
      <c r="B41" s="2">
        <v>184.0</v>
      </c>
      <c r="C41" s="2">
        <v>92.0</v>
      </c>
      <c r="D41" s="2">
        <v>48.7</v>
      </c>
      <c r="E41" s="3">
        <f t="shared" si="28"/>
        <v>3219.165137</v>
      </c>
      <c r="F41" s="3">
        <f>(0.06*C41)/16</f>
        <v>0.345</v>
      </c>
      <c r="G41" s="3">
        <f t="shared" si="1"/>
        <v>3575243.343</v>
      </c>
      <c r="H41" s="3">
        <f t="shared" si="2"/>
        <v>1.943067034</v>
      </c>
      <c r="I41" s="3">
        <f t="shared" si="29"/>
        <v>0.974</v>
      </c>
      <c r="J41" s="3">
        <f t="shared" si="4"/>
        <v>10093585.55</v>
      </c>
      <c r="K41" s="3">
        <f t="shared" si="5"/>
        <v>5.485644322</v>
      </c>
      <c r="L41" s="2">
        <v>1.0</v>
      </c>
      <c r="M41" s="2">
        <f t="shared" si="6"/>
        <v>8.428711356</v>
      </c>
    </row>
    <row r="42" ht="22.5" customHeight="1">
      <c r="A42" s="4" t="s">
        <v>53</v>
      </c>
      <c r="B42" s="4">
        <v>330.0</v>
      </c>
      <c r="C42" s="4">
        <v>270.0</v>
      </c>
      <c r="D42" s="4">
        <v>42.0</v>
      </c>
      <c r="E42" s="5">
        <f t="shared" si="28"/>
        <v>5773.502692</v>
      </c>
      <c r="F42" s="5">
        <f>(0.06*C42)/13</f>
        <v>1.246153846</v>
      </c>
      <c r="G42" s="5">
        <f t="shared" si="1"/>
        <v>41538461.54</v>
      </c>
      <c r="H42" s="5">
        <f t="shared" si="2"/>
        <v>12.58741259</v>
      </c>
      <c r="I42" s="5">
        <f t="shared" ref="I42:I44" si="30">(0.02*D42)/2</f>
        <v>0.42</v>
      </c>
      <c r="J42" s="5">
        <f t="shared" si="4"/>
        <v>14000000</v>
      </c>
      <c r="K42" s="5">
        <f t="shared" si="5"/>
        <v>4.242424242</v>
      </c>
      <c r="L42" s="4">
        <v>1.0</v>
      </c>
      <c r="M42" s="4">
        <f t="shared" si="6"/>
        <v>17.82983683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ht="22.5" customHeight="1">
      <c r="A43" s="4" t="s">
        <v>54</v>
      </c>
      <c r="B43" s="4">
        <v>329.0</v>
      </c>
      <c r="C43" s="4">
        <v>200.0</v>
      </c>
      <c r="D43" s="4">
        <v>42.0</v>
      </c>
      <c r="E43" s="5">
        <f t="shared" si="28"/>
        <v>5756.007229</v>
      </c>
      <c r="F43" s="5">
        <f>(0.06*C43)/11</f>
        <v>1.090909091</v>
      </c>
      <c r="G43" s="5">
        <f t="shared" si="1"/>
        <v>36143584.61</v>
      </c>
      <c r="H43" s="5">
        <f t="shared" si="2"/>
        <v>10.98589198</v>
      </c>
      <c r="I43" s="5">
        <f t="shared" si="30"/>
        <v>0.42</v>
      </c>
      <c r="J43" s="5">
        <f t="shared" si="4"/>
        <v>13915280.07</v>
      </c>
      <c r="K43" s="5">
        <f t="shared" si="5"/>
        <v>4.229568411</v>
      </c>
      <c r="L43" s="4">
        <v>1.0</v>
      </c>
      <c r="M43" s="4">
        <f t="shared" si="6"/>
        <v>16.21546039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ht="22.5" customHeight="1">
      <c r="A44" s="2" t="s">
        <v>55</v>
      </c>
      <c r="B44" s="2">
        <v>389.0</v>
      </c>
      <c r="C44" s="2">
        <v>122.0</v>
      </c>
      <c r="D44" s="2">
        <v>67.0</v>
      </c>
      <c r="E44" s="3">
        <f t="shared" si="28"/>
        <v>6805.734991</v>
      </c>
      <c r="F44" s="3">
        <f>(0.06*C44)/30</f>
        <v>0.244</v>
      </c>
      <c r="G44" s="3">
        <f t="shared" si="1"/>
        <v>11301599.02</v>
      </c>
      <c r="H44" s="3">
        <f t="shared" si="2"/>
        <v>2.905295378</v>
      </c>
      <c r="I44" s="3">
        <f t="shared" si="30"/>
        <v>0.67</v>
      </c>
      <c r="J44" s="3">
        <f t="shared" si="4"/>
        <v>31033079.28</v>
      </c>
      <c r="K44" s="3">
        <f t="shared" si="5"/>
        <v>7.977655341</v>
      </c>
      <c r="L44" s="2">
        <v>1.0</v>
      </c>
      <c r="M44" s="2">
        <f t="shared" si="6"/>
        <v>11.88295072</v>
      </c>
    </row>
    <row r="45" ht="22.5" customHeight="1">
      <c r="A45" s="2" t="s">
        <v>56</v>
      </c>
      <c r="B45" s="2">
        <v>210.0</v>
      </c>
      <c r="C45" s="2">
        <v>53.0</v>
      </c>
      <c r="D45" s="2">
        <v>27.8</v>
      </c>
      <c r="E45" s="3">
        <f t="shared" si="28"/>
        <v>3674.047168</v>
      </c>
      <c r="F45" s="3">
        <f>(0.06*C45)/10</f>
        <v>0.318</v>
      </c>
      <c r="G45" s="3">
        <f t="shared" si="1"/>
        <v>4292561.983</v>
      </c>
      <c r="H45" s="3">
        <f t="shared" si="2"/>
        <v>2.044077135</v>
      </c>
      <c r="I45" s="3">
        <f>0.02*D45</f>
        <v>0.556</v>
      </c>
      <c r="J45" s="3">
        <f t="shared" si="4"/>
        <v>7505234.16</v>
      </c>
      <c r="K45" s="3">
        <f t="shared" si="5"/>
        <v>3.573921028</v>
      </c>
      <c r="L45" s="2">
        <v>1.0</v>
      </c>
      <c r="M45" s="2">
        <f t="shared" si="6"/>
        <v>6.617998163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0.63"/>
    <col customWidth="1" min="4" max="6" width="22.63"/>
  </cols>
  <sheetData>
    <row r="1" ht="22.5" customHeight="1">
      <c r="A1" s="1" t="s">
        <v>0</v>
      </c>
      <c r="B1" s="1" t="s">
        <v>57</v>
      </c>
      <c r="C1" s="1" t="s">
        <v>58</v>
      </c>
      <c r="D1" s="1" t="s">
        <v>59</v>
      </c>
      <c r="E1" s="1" t="s">
        <v>1</v>
      </c>
      <c r="F1" s="1" t="s">
        <v>60</v>
      </c>
    </row>
    <row r="2" ht="22.5" customHeight="1">
      <c r="A2" s="2" t="s">
        <v>13</v>
      </c>
      <c r="B2" s="2" t="s">
        <v>61</v>
      </c>
      <c r="C2" s="2" t="s">
        <v>62</v>
      </c>
      <c r="D2" s="2" t="s">
        <v>63</v>
      </c>
      <c r="E2" s="2">
        <v>92.4</v>
      </c>
      <c r="F2" s="2">
        <v>37.4</v>
      </c>
    </row>
    <row r="3" ht="22.5" customHeight="1">
      <c r="A3" s="2" t="s">
        <v>14</v>
      </c>
      <c r="B3" s="2" t="s">
        <v>64</v>
      </c>
      <c r="C3" s="2" t="s">
        <v>65</v>
      </c>
      <c r="D3" s="2" t="s">
        <v>63</v>
      </c>
      <c r="E3" s="2">
        <v>41.5</v>
      </c>
      <c r="F3" s="2">
        <v>35.4</v>
      </c>
    </row>
    <row r="4" ht="22.5" customHeight="1">
      <c r="A4" s="2" t="s">
        <v>15</v>
      </c>
      <c r="B4" s="2" t="s">
        <v>66</v>
      </c>
      <c r="C4" s="2" t="s">
        <v>67</v>
      </c>
      <c r="D4" s="2" t="s">
        <v>63</v>
      </c>
      <c r="E4" s="2">
        <v>588.0</v>
      </c>
      <c r="F4" s="2">
        <v>44.7</v>
      </c>
    </row>
    <row r="5" ht="22.5" customHeight="1">
      <c r="A5" s="2" t="s">
        <v>16</v>
      </c>
      <c r="B5" s="2" t="s">
        <v>68</v>
      </c>
      <c r="C5" s="2" t="s">
        <v>65</v>
      </c>
      <c r="D5" s="2" t="s">
        <v>63</v>
      </c>
      <c r="E5" s="2">
        <v>41.5</v>
      </c>
      <c r="F5" s="2">
        <v>18.9</v>
      </c>
    </row>
    <row r="6" ht="22.5" customHeight="1">
      <c r="A6" s="2" t="s">
        <v>17</v>
      </c>
      <c r="B6" s="2" t="s">
        <v>69</v>
      </c>
      <c r="C6" s="2" t="s">
        <v>70</v>
      </c>
      <c r="D6" s="2" t="s">
        <v>63</v>
      </c>
      <c r="E6" s="2">
        <v>90.0</v>
      </c>
      <c r="F6" s="2">
        <v>33.4</v>
      </c>
      <c r="H6" s="10">
        <f>0.56*0.89*0.97*0.955</f>
        <v>0.46169284</v>
      </c>
    </row>
    <row r="7" ht="22.5" customHeight="1">
      <c r="A7" s="2" t="s">
        <v>18</v>
      </c>
      <c r="B7" s="2" t="s">
        <v>69</v>
      </c>
      <c r="C7" s="2" t="s">
        <v>65</v>
      </c>
      <c r="D7" s="2" t="s">
        <v>63</v>
      </c>
      <c r="E7" s="2">
        <v>258.0</v>
      </c>
      <c r="F7" s="2">
        <v>40.3</v>
      </c>
    </row>
    <row r="8" ht="22.5" customHeight="1">
      <c r="A8" s="2" t="s">
        <v>19</v>
      </c>
      <c r="B8" s="2" t="s">
        <v>71</v>
      </c>
      <c r="C8" s="2" t="s">
        <v>72</v>
      </c>
      <c r="D8" s="2" t="s">
        <v>63</v>
      </c>
      <c r="E8" s="2">
        <v>402.0</v>
      </c>
      <c r="F8" s="2">
        <v>46.7</v>
      </c>
    </row>
    <row r="9" ht="22.5" customHeight="1">
      <c r="A9" s="2" t="s">
        <v>20</v>
      </c>
      <c r="B9" s="2" t="s">
        <v>73</v>
      </c>
      <c r="C9" s="2" t="s">
        <v>74</v>
      </c>
      <c r="D9" s="2" t="s">
        <v>63</v>
      </c>
      <c r="E9" s="2">
        <v>714.0</v>
      </c>
      <c r="F9" s="2">
        <v>49.8</v>
      </c>
    </row>
    <row r="10" ht="22.5" customHeight="1">
      <c r="A10" s="2" t="s">
        <v>21</v>
      </c>
      <c r="B10" s="2" t="s">
        <v>73</v>
      </c>
      <c r="C10" s="2" t="s">
        <v>72</v>
      </c>
      <c r="D10" s="2" t="s">
        <v>63</v>
      </c>
      <c r="E10" s="2">
        <v>352.0</v>
      </c>
      <c r="F10" s="2">
        <v>49.2</v>
      </c>
    </row>
    <row r="11" ht="22.5" customHeight="1">
      <c r="A11" s="2" t="s">
        <v>22</v>
      </c>
      <c r="B11" s="2" t="s">
        <v>73</v>
      </c>
      <c r="C11" s="2" t="s">
        <v>70</v>
      </c>
      <c r="D11" s="2" t="s">
        <v>63</v>
      </c>
      <c r="E11" s="2">
        <v>504.0</v>
      </c>
      <c r="F11" s="2">
        <v>41.7</v>
      </c>
    </row>
    <row r="12" ht="22.5" customHeight="1">
      <c r="A12" s="2" t="s">
        <v>23</v>
      </c>
      <c r="B12" s="2" t="s">
        <v>73</v>
      </c>
      <c r="C12" s="2" t="s">
        <v>70</v>
      </c>
      <c r="D12" s="2" t="s">
        <v>63</v>
      </c>
      <c r="E12" s="2">
        <v>108.0</v>
      </c>
      <c r="F12" s="2">
        <v>36.8</v>
      </c>
    </row>
    <row r="13" ht="22.5" customHeight="1">
      <c r="A13" s="2" t="s">
        <v>24</v>
      </c>
      <c r="B13" s="2" t="s">
        <v>73</v>
      </c>
      <c r="C13" s="2" t="s">
        <v>70</v>
      </c>
      <c r="D13" s="2" t="s">
        <v>63</v>
      </c>
      <c r="E13" s="2">
        <v>65.0</v>
      </c>
      <c r="F13" s="2">
        <v>36.8</v>
      </c>
      <c r="I13" s="11" t="s">
        <v>75</v>
      </c>
      <c r="J13" s="12" t="s">
        <v>76</v>
      </c>
    </row>
    <row r="14" ht="22.5" customHeight="1">
      <c r="A14" s="2" t="s">
        <v>25</v>
      </c>
      <c r="B14" s="2" t="s">
        <v>69</v>
      </c>
      <c r="C14" s="2" t="s">
        <v>70</v>
      </c>
      <c r="D14" s="2" t="s">
        <v>63</v>
      </c>
      <c r="E14" s="2">
        <v>576.0</v>
      </c>
      <c r="F14" s="2">
        <v>38.1</v>
      </c>
      <c r="I14" s="13">
        <v>46114.0</v>
      </c>
      <c r="J14" s="12" t="s">
        <v>77</v>
      </c>
    </row>
    <row r="15" ht="22.5" customHeight="1">
      <c r="A15" s="2" t="s">
        <v>26</v>
      </c>
      <c r="B15" s="2" t="s">
        <v>78</v>
      </c>
      <c r="C15" s="2" t="s">
        <v>79</v>
      </c>
      <c r="D15" s="2" t="s">
        <v>63</v>
      </c>
      <c r="E15" s="2">
        <v>1218.0</v>
      </c>
      <c r="F15" s="2">
        <v>47.0</v>
      </c>
      <c r="J15" s="12" t="s">
        <v>80</v>
      </c>
    </row>
    <row r="16" ht="22.5" customHeight="1">
      <c r="A16" s="2" t="s">
        <v>27</v>
      </c>
      <c r="B16" s="2" t="s">
        <v>78</v>
      </c>
      <c r="C16" s="14" t="s">
        <v>81</v>
      </c>
      <c r="D16" s="2" t="s">
        <v>63</v>
      </c>
      <c r="E16" s="2">
        <v>1300.0</v>
      </c>
      <c r="F16" s="2">
        <v>45.6</v>
      </c>
    </row>
    <row r="17" ht="22.5" customHeight="1">
      <c r="A17" s="2" t="s">
        <v>28</v>
      </c>
      <c r="B17" s="2" t="s">
        <v>71</v>
      </c>
      <c r="C17" s="2" t="s">
        <v>82</v>
      </c>
      <c r="D17" s="2" t="s">
        <v>63</v>
      </c>
      <c r="E17" s="2">
        <v>219.0</v>
      </c>
      <c r="F17" s="2">
        <v>42.5</v>
      </c>
    </row>
    <row r="18" ht="22.5" customHeight="1">
      <c r="A18" s="2" t="s">
        <v>29</v>
      </c>
      <c r="B18" s="2" t="s">
        <v>68</v>
      </c>
      <c r="C18" s="2" t="s">
        <v>83</v>
      </c>
      <c r="D18" s="2" t="s">
        <v>84</v>
      </c>
      <c r="E18" s="2">
        <v>30.0</v>
      </c>
      <c r="F18" s="2">
        <v>53.6</v>
      </c>
    </row>
    <row r="19" ht="22.5" customHeight="1">
      <c r="A19" s="2" t="s">
        <v>30</v>
      </c>
      <c r="B19" s="2" t="s">
        <v>71</v>
      </c>
      <c r="C19" s="2" t="s">
        <v>70</v>
      </c>
      <c r="D19" s="2" t="s">
        <v>63</v>
      </c>
      <c r="E19" s="2">
        <v>97.0</v>
      </c>
      <c r="F19" s="2">
        <v>35.2</v>
      </c>
    </row>
    <row r="20" ht="22.5" customHeight="1">
      <c r="A20" s="2" t="s">
        <v>31</v>
      </c>
      <c r="B20" s="2" t="s">
        <v>73</v>
      </c>
      <c r="C20" s="2" t="s">
        <v>85</v>
      </c>
      <c r="D20" s="2" t="s">
        <v>63</v>
      </c>
      <c r="E20" s="2">
        <v>90.0</v>
      </c>
      <c r="F20" s="2">
        <v>30.8</v>
      </c>
    </row>
    <row r="21" ht="22.5" customHeight="1">
      <c r="A21" s="2" t="s">
        <v>32</v>
      </c>
      <c r="B21" s="2" t="s">
        <v>73</v>
      </c>
      <c r="C21" s="2" t="s">
        <v>86</v>
      </c>
      <c r="D21" s="2" t="s">
        <v>63</v>
      </c>
      <c r="E21" s="2">
        <v>50.0</v>
      </c>
      <c r="F21" s="2">
        <v>41.9</v>
      </c>
    </row>
    <row r="22" ht="22.5" customHeight="1">
      <c r="A22" s="2" t="s">
        <v>33</v>
      </c>
      <c r="B22" s="2" t="s">
        <v>68</v>
      </c>
      <c r="C22" s="2" t="s">
        <v>87</v>
      </c>
      <c r="D22" s="2" t="s">
        <v>84</v>
      </c>
      <c r="E22" s="2">
        <v>50.0</v>
      </c>
      <c r="F22" s="2">
        <v>37.8</v>
      </c>
    </row>
    <row r="23" ht="22.5" customHeight="1">
      <c r="A23" s="2" t="s">
        <v>34</v>
      </c>
      <c r="B23" s="2" t="s">
        <v>71</v>
      </c>
      <c r="C23" s="2" t="s">
        <v>88</v>
      </c>
      <c r="D23" s="2" t="s">
        <v>63</v>
      </c>
      <c r="E23" s="2">
        <v>270.0</v>
      </c>
      <c r="F23" s="2">
        <v>42.4</v>
      </c>
    </row>
    <row r="24" ht="22.5" customHeight="1">
      <c r="A24" s="2" t="s">
        <v>35</v>
      </c>
      <c r="B24" s="2" t="s">
        <v>73</v>
      </c>
      <c r="C24" s="2" t="s">
        <v>88</v>
      </c>
      <c r="D24" s="2" t="s">
        <v>63</v>
      </c>
      <c r="E24" s="2">
        <v>630.0</v>
      </c>
      <c r="F24" s="2">
        <v>41.4</v>
      </c>
    </row>
    <row r="25" ht="22.5" customHeight="1">
      <c r="A25" s="2" t="s">
        <v>36</v>
      </c>
      <c r="B25" s="2" t="s">
        <v>71</v>
      </c>
      <c r="C25" s="2" t="s">
        <v>70</v>
      </c>
      <c r="D25" s="2" t="s">
        <v>63</v>
      </c>
      <c r="E25" s="2">
        <v>97.0</v>
      </c>
      <c r="F25" s="2">
        <v>35.2</v>
      </c>
    </row>
    <row r="26" ht="22.5" customHeight="1">
      <c r="A26" s="2" t="s">
        <v>37</v>
      </c>
      <c r="B26" s="2" t="s">
        <v>66</v>
      </c>
      <c r="C26" s="2" t="s">
        <v>89</v>
      </c>
      <c r="D26" s="2" t="s">
        <v>63</v>
      </c>
      <c r="E26" s="2">
        <v>950.0</v>
      </c>
      <c r="F26" s="2">
        <v>26.1</v>
      </c>
    </row>
    <row r="27" ht="22.5" customHeight="1">
      <c r="A27" s="2" t="s">
        <v>38</v>
      </c>
      <c r="B27" s="2" t="s">
        <v>69</v>
      </c>
      <c r="C27" s="2" t="s">
        <v>90</v>
      </c>
      <c r="D27" s="2" t="s">
        <v>63</v>
      </c>
      <c r="E27" s="2">
        <v>60.0</v>
      </c>
      <c r="F27" s="2">
        <v>32.3</v>
      </c>
    </row>
    <row r="28" ht="22.5" customHeight="1">
      <c r="A28" s="2" t="s">
        <v>39</v>
      </c>
      <c r="B28" s="2" t="s">
        <v>64</v>
      </c>
      <c r="C28" s="2" t="s">
        <v>91</v>
      </c>
      <c r="D28" s="2" t="s">
        <v>63</v>
      </c>
      <c r="E28" s="2">
        <v>150.0</v>
      </c>
      <c r="F28" s="2">
        <v>36.5</v>
      </c>
    </row>
    <row r="29" ht="22.5" customHeight="1">
      <c r="A29" s="2" t="s">
        <v>40</v>
      </c>
      <c r="B29" s="2" t="s">
        <v>71</v>
      </c>
      <c r="C29" s="2" t="s">
        <v>92</v>
      </c>
      <c r="D29" s="2" t="s">
        <v>63</v>
      </c>
      <c r="E29" s="2">
        <v>574.0</v>
      </c>
      <c r="F29" s="2">
        <v>44.0</v>
      </c>
    </row>
    <row r="30" ht="22.5" customHeight="1">
      <c r="A30" s="2" t="s">
        <v>41</v>
      </c>
      <c r="B30" s="2" t="s">
        <v>93</v>
      </c>
      <c r="C30" s="2" t="s">
        <v>94</v>
      </c>
      <c r="D30" s="2" t="s">
        <v>63</v>
      </c>
      <c r="E30" s="2">
        <v>400.2</v>
      </c>
      <c r="F30" s="2">
        <v>43.3</v>
      </c>
    </row>
    <row r="31" ht="22.5" customHeight="1">
      <c r="A31" s="2" t="s">
        <v>42</v>
      </c>
      <c r="B31" s="2" t="s">
        <v>69</v>
      </c>
      <c r="C31" s="2" t="s">
        <v>70</v>
      </c>
      <c r="D31" s="2" t="s">
        <v>63</v>
      </c>
      <c r="E31" s="2">
        <v>90.0</v>
      </c>
      <c r="F31" s="2">
        <v>34.4</v>
      </c>
    </row>
    <row r="32" ht="22.5" customHeight="1">
      <c r="A32" s="2" t="s">
        <v>43</v>
      </c>
      <c r="B32" s="2" t="s">
        <v>95</v>
      </c>
      <c r="C32" s="2" t="s">
        <v>85</v>
      </c>
      <c r="D32" s="2" t="s">
        <v>63</v>
      </c>
      <c r="E32" s="2">
        <v>90.0</v>
      </c>
      <c r="F32" s="2">
        <v>35.9</v>
      </c>
    </row>
    <row r="33" ht="22.5" customHeight="1">
      <c r="A33" s="2" t="s">
        <v>44</v>
      </c>
      <c r="B33" s="2" t="s">
        <v>95</v>
      </c>
      <c r="C33" s="2" t="s">
        <v>85</v>
      </c>
      <c r="D33" s="2" t="s">
        <v>63</v>
      </c>
      <c r="E33" s="2">
        <v>90.0</v>
      </c>
      <c r="F33" s="2">
        <v>37.0</v>
      </c>
    </row>
    <row r="34" ht="22.5" customHeight="1">
      <c r="A34" s="2" t="s">
        <v>45</v>
      </c>
      <c r="B34" s="2" t="s">
        <v>96</v>
      </c>
      <c r="C34" s="2" t="s">
        <v>90</v>
      </c>
      <c r="D34" s="2" t="s">
        <v>63</v>
      </c>
      <c r="E34" s="2">
        <v>60.0</v>
      </c>
      <c r="F34" s="2">
        <v>31.4</v>
      </c>
    </row>
    <row r="35" ht="22.5" customHeight="1">
      <c r="A35" s="2" t="s">
        <v>46</v>
      </c>
      <c r="B35" s="2" t="s">
        <v>68</v>
      </c>
      <c r="C35" s="2" t="s">
        <v>97</v>
      </c>
      <c r="D35" s="2" t="s">
        <v>63</v>
      </c>
      <c r="E35" s="2">
        <v>1075.0</v>
      </c>
      <c r="F35" s="2">
        <v>16.6</v>
      </c>
    </row>
    <row r="36" ht="22.5" customHeight="1">
      <c r="A36" s="2" t="s">
        <v>47</v>
      </c>
      <c r="B36" s="2" t="s">
        <v>71</v>
      </c>
      <c r="C36" s="2" t="s">
        <v>70</v>
      </c>
      <c r="D36" s="2" t="s">
        <v>63</v>
      </c>
      <c r="E36" s="2">
        <v>317.0</v>
      </c>
      <c r="F36" s="2">
        <v>39.7</v>
      </c>
    </row>
    <row r="37" ht="22.5" customHeight="1">
      <c r="A37" s="2" t="s">
        <v>48</v>
      </c>
      <c r="B37" s="2" t="s">
        <v>48</v>
      </c>
      <c r="C37" s="2" t="s">
        <v>98</v>
      </c>
      <c r="D37" s="2" t="s">
        <v>63</v>
      </c>
      <c r="E37" s="2">
        <v>62.0</v>
      </c>
      <c r="F37" s="2">
        <v>36.0</v>
      </c>
    </row>
    <row r="38" ht="22.5" customHeight="1">
      <c r="A38" s="2" t="s">
        <v>49</v>
      </c>
      <c r="B38" s="2" t="s">
        <v>73</v>
      </c>
      <c r="C38" s="2" t="s">
        <v>99</v>
      </c>
      <c r="D38" s="2" t="s">
        <v>63</v>
      </c>
      <c r="E38" s="2">
        <v>300.0</v>
      </c>
      <c r="F38" s="2">
        <v>35.0</v>
      </c>
    </row>
    <row r="39" ht="22.5" customHeight="1">
      <c r="A39" s="2" t="s">
        <v>50</v>
      </c>
      <c r="B39" s="2" t="s">
        <v>71</v>
      </c>
      <c r="C39" s="14" t="s">
        <v>100</v>
      </c>
      <c r="D39" s="2" t="s">
        <v>63</v>
      </c>
      <c r="E39" s="2">
        <v>857.0</v>
      </c>
      <c r="F39" s="2">
        <v>43.4</v>
      </c>
    </row>
    <row r="40" ht="22.5" customHeight="1">
      <c r="A40" s="2" t="s">
        <v>51</v>
      </c>
      <c r="B40" s="2" t="s">
        <v>64</v>
      </c>
      <c r="C40" s="2" t="s">
        <v>70</v>
      </c>
      <c r="D40" s="2" t="s">
        <v>63</v>
      </c>
      <c r="E40" s="2">
        <v>184.0</v>
      </c>
      <c r="F40" s="2">
        <v>39.5</v>
      </c>
    </row>
    <row r="41" ht="22.5" customHeight="1">
      <c r="A41" s="2" t="s">
        <v>52</v>
      </c>
      <c r="B41" s="2" t="s">
        <v>64</v>
      </c>
      <c r="C41" s="2" t="s">
        <v>88</v>
      </c>
      <c r="D41" s="2" t="s">
        <v>63</v>
      </c>
      <c r="E41" s="2">
        <v>184.0</v>
      </c>
      <c r="F41" s="2">
        <v>45.3</v>
      </c>
    </row>
    <row r="42" ht="22.5" customHeight="1">
      <c r="A42" s="2" t="s">
        <v>53</v>
      </c>
      <c r="B42" s="2" t="s">
        <v>64</v>
      </c>
      <c r="C42" s="2" t="s">
        <v>65</v>
      </c>
      <c r="D42" s="2" t="s">
        <v>63</v>
      </c>
      <c r="E42" s="2">
        <v>330.0</v>
      </c>
      <c r="F42" s="2">
        <v>46.0</v>
      </c>
    </row>
    <row r="43" ht="22.5" customHeight="1">
      <c r="A43" s="2" t="s">
        <v>54</v>
      </c>
      <c r="B43" s="2" t="s">
        <v>64</v>
      </c>
      <c r="C43" s="2" t="s">
        <v>101</v>
      </c>
      <c r="D43" s="2" t="s">
        <v>63</v>
      </c>
      <c r="E43" s="2">
        <v>329.0</v>
      </c>
      <c r="F43" s="2">
        <v>46.0</v>
      </c>
    </row>
    <row r="44" ht="22.5" customHeight="1">
      <c r="A44" s="2" t="s">
        <v>55</v>
      </c>
      <c r="B44" s="2" t="s">
        <v>64</v>
      </c>
      <c r="C44" s="2" t="s">
        <v>88</v>
      </c>
      <c r="D44" s="2" t="s">
        <v>63</v>
      </c>
      <c r="E44" s="2">
        <v>389.0</v>
      </c>
      <c r="F44" s="2">
        <v>45.2</v>
      </c>
    </row>
    <row r="45" ht="22.5" customHeight="1">
      <c r="A45" s="2" t="s">
        <v>56</v>
      </c>
      <c r="B45" s="2" t="s">
        <v>71</v>
      </c>
      <c r="C45" s="2" t="s">
        <v>72</v>
      </c>
      <c r="D45" s="2" t="s">
        <v>63</v>
      </c>
      <c r="E45" s="2">
        <v>210.0</v>
      </c>
      <c r="F45" s="2">
        <v>47.3</v>
      </c>
    </row>
  </sheetData>
  <hyperlinks>
    <hyperlink r:id="rId1" ref="J13"/>
    <hyperlink r:id="rId2" ref="J14"/>
    <hyperlink r:id="rId3" ref="J15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30.63"/>
    <col customWidth="1" min="5" max="9" width="22.63"/>
    <col customWidth="1" min="12" max="12" width="19.25"/>
  </cols>
  <sheetData>
    <row r="1" ht="22.5" customHeight="1">
      <c r="A1" s="1" t="s">
        <v>0</v>
      </c>
      <c r="B1" s="1" t="s">
        <v>57</v>
      </c>
      <c r="C1" s="1" t="s">
        <v>102</v>
      </c>
      <c r="D1" s="1" t="s">
        <v>58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 ht="22.5" customHeight="1">
      <c r="A2" s="15" t="s">
        <v>13</v>
      </c>
      <c r="B2" s="15" t="s">
        <v>61</v>
      </c>
      <c r="C2" s="15" t="s">
        <v>108</v>
      </c>
      <c r="D2" s="15" t="s">
        <v>109</v>
      </c>
      <c r="E2" s="15">
        <v>47.4</v>
      </c>
      <c r="F2" s="16">
        <v>10.0</v>
      </c>
      <c r="G2" s="16">
        <v>1.95</v>
      </c>
      <c r="H2" s="16">
        <v>5.0</v>
      </c>
      <c r="I2" s="17">
        <f t="shared" ref="I2:I45" si="1">E2*((100-F2)/100)*((100-G2)/100)*((100-H2)/100)</f>
        <v>39.7367235</v>
      </c>
    </row>
    <row r="3" ht="22.5" customHeight="1">
      <c r="A3" s="18" t="s">
        <v>14</v>
      </c>
      <c r="B3" s="18" t="s">
        <v>64</v>
      </c>
      <c r="C3" s="18" t="s">
        <v>110</v>
      </c>
      <c r="D3" s="18" t="s">
        <v>65</v>
      </c>
      <c r="E3" s="18">
        <v>46.7</v>
      </c>
      <c r="F3" s="19">
        <v>10.0</v>
      </c>
      <c r="G3" s="19">
        <v>2.05</v>
      </c>
      <c r="H3" s="19">
        <v>5.0</v>
      </c>
      <c r="I3" s="20">
        <f t="shared" si="1"/>
        <v>39.10996575</v>
      </c>
    </row>
    <row r="4" ht="22.5" customHeight="1">
      <c r="A4" s="21" t="s">
        <v>15</v>
      </c>
      <c r="B4" s="21" t="s">
        <v>66</v>
      </c>
      <c r="C4" s="21" t="s">
        <v>111</v>
      </c>
      <c r="D4" s="21" t="s">
        <v>67</v>
      </c>
      <c r="E4" s="21">
        <v>57.4</v>
      </c>
      <c r="F4" s="22">
        <v>12.0</v>
      </c>
      <c r="G4" s="22">
        <v>41.37</v>
      </c>
      <c r="H4" s="22">
        <v>5.0</v>
      </c>
      <c r="I4" s="23">
        <f t="shared" si="1"/>
        <v>28.13442632</v>
      </c>
    </row>
    <row r="5" ht="22.5" customHeight="1">
      <c r="A5" s="21" t="s">
        <v>16</v>
      </c>
      <c r="B5" s="21" t="s">
        <v>68</v>
      </c>
      <c r="C5" s="21" t="s">
        <v>112</v>
      </c>
      <c r="D5" s="21" t="s">
        <v>65</v>
      </c>
      <c r="E5" s="21">
        <v>46.3</v>
      </c>
      <c r="F5" s="22">
        <v>11.6</v>
      </c>
      <c r="G5" s="22">
        <v>1.26</v>
      </c>
      <c r="H5" s="22">
        <v>5.0</v>
      </c>
      <c r="I5" s="23">
        <f t="shared" si="1"/>
        <v>38.39281748</v>
      </c>
    </row>
    <row r="6" ht="22.5" customHeight="1">
      <c r="A6" s="15" t="s">
        <v>17</v>
      </c>
      <c r="B6" s="15" t="s">
        <v>69</v>
      </c>
      <c r="C6" s="15" t="s">
        <v>113</v>
      </c>
      <c r="D6" s="15" t="s">
        <v>70</v>
      </c>
      <c r="E6" s="15">
        <v>41.0</v>
      </c>
      <c r="F6" s="16">
        <v>10.0</v>
      </c>
      <c r="G6" s="16">
        <v>1.7</v>
      </c>
      <c r="H6" s="16">
        <v>5.0</v>
      </c>
      <c r="I6" s="17">
        <f t="shared" si="1"/>
        <v>34.459065</v>
      </c>
    </row>
    <row r="7" ht="22.5" customHeight="1">
      <c r="A7" s="15" t="s">
        <v>18</v>
      </c>
      <c r="B7" s="15" t="s">
        <v>69</v>
      </c>
      <c r="C7" s="15" t="s">
        <v>114</v>
      </c>
      <c r="D7" s="15" t="s">
        <v>65</v>
      </c>
      <c r="E7" s="15">
        <v>45.4</v>
      </c>
      <c r="F7" s="16">
        <v>8.0</v>
      </c>
      <c r="G7" s="16">
        <v>3.18</v>
      </c>
      <c r="H7" s="16">
        <v>5.0</v>
      </c>
      <c r="I7" s="17">
        <f t="shared" si="1"/>
        <v>38.41778872</v>
      </c>
    </row>
    <row r="8" ht="22.5" customHeight="1">
      <c r="A8" s="21" t="s">
        <v>19</v>
      </c>
      <c r="B8" s="21" t="s">
        <v>71</v>
      </c>
      <c r="C8" s="21" t="s">
        <v>115</v>
      </c>
      <c r="D8" s="21" t="s">
        <v>72</v>
      </c>
      <c r="E8" s="21">
        <v>46.5</v>
      </c>
      <c r="F8" s="22">
        <v>8.5</v>
      </c>
      <c r="G8" s="22">
        <v>18.1</v>
      </c>
      <c r="H8" s="22">
        <v>7.5</v>
      </c>
      <c r="I8" s="23">
        <f t="shared" si="1"/>
        <v>32.23292231</v>
      </c>
    </row>
    <row r="9" ht="22.5" customHeight="1">
      <c r="A9" s="21" t="s">
        <v>20</v>
      </c>
      <c r="B9" s="21" t="s">
        <v>73</v>
      </c>
      <c r="C9" s="21" t="s">
        <v>116</v>
      </c>
      <c r="D9" s="21" t="s">
        <v>74</v>
      </c>
      <c r="E9" s="21">
        <v>53.9</v>
      </c>
      <c r="F9" s="22">
        <v>10.5</v>
      </c>
      <c r="G9" s="22">
        <v>9.27</v>
      </c>
      <c r="H9" s="22">
        <v>7.5</v>
      </c>
      <c r="I9" s="23">
        <f t="shared" si="1"/>
        <v>40.48596023</v>
      </c>
    </row>
    <row r="10" ht="22.5" customHeight="1">
      <c r="A10" s="18" t="s">
        <v>21</v>
      </c>
      <c r="B10" s="18" t="s">
        <v>73</v>
      </c>
      <c r="C10" s="18" t="s">
        <v>117</v>
      </c>
      <c r="D10" s="18" t="s">
        <v>72</v>
      </c>
      <c r="E10" s="18">
        <v>57.1</v>
      </c>
      <c r="F10" s="19">
        <v>8.0</v>
      </c>
      <c r="G10" s="19">
        <v>3.29</v>
      </c>
      <c r="H10" s="19">
        <v>7.5</v>
      </c>
      <c r="I10" s="20">
        <f t="shared" si="1"/>
        <v>46.99341991</v>
      </c>
    </row>
    <row r="11" ht="22.5" customHeight="1">
      <c r="A11" s="18" t="s">
        <v>22</v>
      </c>
      <c r="B11" s="18" t="s">
        <v>73</v>
      </c>
      <c r="C11" s="18" t="s">
        <v>118</v>
      </c>
      <c r="D11" s="18" t="s">
        <v>70</v>
      </c>
      <c r="E11" s="18">
        <v>50.6</v>
      </c>
      <c r="F11" s="19">
        <v>11.5</v>
      </c>
      <c r="G11" s="19">
        <v>6.36</v>
      </c>
      <c r="H11" s="19">
        <v>7.5</v>
      </c>
      <c r="I11" s="20">
        <f t="shared" si="1"/>
        <v>38.78795877</v>
      </c>
    </row>
    <row r="12" ht="22.5" customHeight="1">
      <c r="A12" s="15" t="s">
        <v>23</v>
      </c>
      <c r="B12" s="15" t="s">
        <v>73</v>
      </c>
      <c r="C12" s="15" t="s">
        <v>119</v>
      </c>
      <c r="D12" s="15" t="s">
        <v>70</v>
      </c>
      <c r="E12" s="15">
        <v>43.9</v>
      </c>
      <c r="F12" s="16">
        <v>9.5</v>
      </c>
      <c r="G12" s="16">
        <v>2.45</v>
      </c>
      <c r="H12" s="16">
        <v>5.0</v>
      </c>
      <c r="I12" s="17">
        <f t="shared" si="1"/>
        <v>36.81832089</v>
      </c>
    </row>
    <row r="13" ht="22.5" customHeight="1">
      <c r="A13" s="15" t="s">
        <v>24</v>
      </c>
      <c r="B13" s="15" t="s">
        <v>73</v>
      </c>
      <c r="C13" s="15" t="s">
        <v>120</v>
      </c>
      <c r="D13" s="15" t="s">
        <v>70</v>
      </c>
      <c r="E13" s="15">
        <v>44.5</v>
      </c>
      <c r="F13" s="16">
        <v>9.5</v>
      </c>
      <c r="G13" s="16">
        <v>1.58</v>
      </c>
      <c r="H13" s="16">
        <v>5.0</v>
      </c>
      <c r="I13" s="17">
        <f t="shared" si="1"/>
        <v>37.65438478</v>
      </c>
    </row>
    <row r="14" ht="22.5" customHeight="1">
      <c r="A14" s="15" t="s">
        <v>25</v>
      </c>
      <c r="B14" s="15" t="s">
        <v>69</v>
      </c>
      <c r="C14" s="15" t="s">
        <v>121</v>
      </c>
      <c r="D14" s="15" t="s">
        <v>70</v>
      </c>
      <c r="E14" s="15">
        <v>44.4</v>
      </c>
      <c r="F14" s="16">
        <v>7.5</v>
      </c>
      <c r="G14" s="16">
        <v>7.5</v>
      </c>
      <c r="H14" s="16">
        <v>5.0</v>
      </c>
      <c r="I14" s="17">
        <f t="shared" si="1"/>
        <v>36.0902625</v>
      </c>
    </row>
    <row r="15" ht="22.5" customHeight="1">
      <c r="A15" s="21" t="s">
        <v>26</v>
      </c>
      <c r="B15" s="21" t="s">
        <v>78</v>
      </c>
      <c r="C15" s="21" t="s">
        <v>122</v>
      </c>
      <c r="D15" s="21" t="s">
        <v>79</v>
      </c>
      <c r="E15" s="21">
        <v>56.0</v>
      </c>
      <c r="F15" s="22">
        <v>14.5</v>
      </c>
      <c r="G15" s="22">
        <v>19.9</v>
      </c>
      <c r="H15" s="22">
        <v>10.0</v>
      </c>
      <c r="I15" s="23">
        <f t="shared" si="1"/>
        <v>34.516692</v>
      </c>
    </row>
    <row r="16" ht="22.5" customHeight="1">
      <c r="A16" s="21" t="s">
        <v>27</v>
      </c>
      <c r="B16" s="21" t="s">
        <v>78</v>
      </c>
      <c r="C16" s="24" t="s">
        <v>123</v>
      </c>
      <c r="D16" s="24" t="s">
        <v>124</v>
      </c>
      <c r="E16" s="21">
        <v>57.3</v>
      </c>
      <c r="F16" s="22">
        <v>13.5</v>
      </c>
      <c r="G16" s="22">
        <v>16.54</v>
      </c>
      <c r="H16" s="22">
        <v>10.0</v>
      </c>
      <c r="I16" s="23">
        <f t="shared" si="1"/>
        <v>37.22987853</v>
      </c>
    </row>
    <row r="17" ht="22.5" customHeight="1">
      <c r="A17" s="15" t="s">
        <v>28</v>
      </c>
      <c r="B17" s="15" t="s">
        <v>71</v>
      </c>
      <c r="C17" s="15" t="s">
        <v>125</v>
      </c>
      <c r="D17" s="15" t="s">
        <v>126</v>
      </c>
      <c r="E17" s="15">
        <v>55.7</v>
      </c>
      <c r="F17" s="16">
        <v>10.5</v>
      </c>
      <c r="G17" s="16">
        <v>11.86</v>
      </c>
      <c r="H17" s="16">
        <v>5.0</v>
      </c>
      <c r="I17" s="17">
        <f t="shared" si="1"/>
        <v>41.7421565</v>
      </c>
    </row>
    <row r="18" ht="22.5" customHeight="1">
      <c r="A18" s="21" t="s">
        <v>29</v>
      </c>
      <c r="B18" s="21" t="s">
        <v>68</v>
      </c>
      <c r="C18" s="21" t="s">
        <v>127</v>
      </c>
      <c r="D18" s="21" t="s">
        <v>83</v>
      </c>
      <c r="E18" s="21">
        <v>51.9</v>
      </c>
      <c r="F18" s="22">
        <v>4.0</v>
      </c>
      <c r="G18" s="22">
        <v>1.33</v>
      </c>
      <c r="H18" s="22">
        <v>5.0</v>
      </c>
      <c r="I18" s="23">
        <f t="shared" si="1"/>
        <v>46.70327376</v>
      </c>
      <c r="L18" s="11" t="s">
        <v>128</v>
      </c>
    </row>
    <row r="19" ht="22.5" customHeight="1">
      <c r="A19" s="18" t="s">
        <v>30</v>
      </c>
      <c r="B19" s="18" t="s">
        <v>71</v>
      </c>
      <c r="C19" s="18" t="s">
        <v>129</v>
      </c>
      <c r="D19" s="18" t="s">
        <v>70</v>
      </c>
      <c r="E19" s="18">
        <v>46.7</v>
      </c>
      <c r="F19" s="19">
        <v>9.0</v>
      </c>
      <c r="G19" s="19">
        <v>1.35</v>
      </c>
      <c r="H19" s="19">
        <v>5.0</v>
      </c>
      <c r="I19" s="20">
        <f t="shared" si="1"/>
        <v>39.82712598</v>
      </c>
      <c r="L19" s="25" t="s">
        <v>130</v>
      </c>
      <c r="M19" s="26">
        <f>(13/44)*100</f>
        <v>29.54545455</v>
      </c>
    </row>
    <row r="20" ht="22.5" customHeight="1">
      <c r="A20" s="15" t="s">
        <v>31</v>
      </c>
      <c r="B20" s="15" t="s">
        <v>73</v>
      </c>
      <c r="C20" s="15" t="s">
        <v>131</v>
      </c>
      <c r="D20" s="15" t="s">
        <v>85</v>
      </c>
      <c r="E20" s="15">
        <v>39.0</v>
      </c>
      <c r="F20" s="16">
        <v>12.5</v>
      </c>
      <c r="G20" s="16">
        <v>2.02</v>
      </c>
      <c r="H20" s="16">
        <v>5.0</v>
      </c>
      <c r="I20" s="17">
        <f t="shared" si="1"/>
        <v>31.76389125</v>
      </c>
      <c r="L20" s="27" t="s">
        <v>132</v>
      </c>
      <c r="M20" s="26">
        <f>(12/44)*100</f>
        <v>27.27272727</v>
      </c>
    </row>
    <row r="21" ht="22.5" customHeight="1">
      <c r="A21" s="15" t="s">
        <v>32</v>
      </c>
      <c r="B21" s="15" t="s">
        <v>73</v>
      </c>
      <c r="C21" s="15" t="s">
        <v>133</v>
      </c>
      <c r="D21" s="15" t="s">
        <v>86</v>
      </c>
      <c r="E21" s="15">
        <v>49.6</v>
      </c>
      <c r="F21" s="16">
        <v>10.5</v>
      </c>
      <c r="G21" s="16">
        <v>1.55</v>
      </c>
      <c r="H21" s="16">
        <v>5.0</v>
      </c>
      <c r="I21" s="17">
        <f t="shared" si="1"/>
        <v>41.5187278</v>
      </c>
      <c r="L21" s="28" t="s">
        <v>134</v>
      </c>
      <c r="M21" s="26">
        <f>(19/44)*100</f>
        <v>43.18181818</v>
      </c>
    </row>
    <row r="22" ht="22.5" customHeight="1">
      <c r="A22" s="18" t="s">
        <v>33</v>
      </c>
      <c r="B22" s="18" t="s">
        <v>68</v>
      </c>
      <c r="C22" s="18" t="s">
        <v>135</v>
      </c>
      <c r="D22" s="18" t="s">
        <v>87</v>
      </c>
      <c r="E22" s="18">
        <v>46.7</v>
      </c>
      <c r="F22" s="19">
        <v>4.0</v>
      </c>
      <c r="G22" s="19">
        <v>4.01</v>
      </c>
      <c r="H22" s="19">
        <v>5.0</v>
      </c>
      <c r="I22" s="20">
        <f t="shared" si="1"/>
        <v>40.88252496</v>
      </c>
    </row>
    <row r="23" ht="22.5" customHeight="1">
      <c r="A23" s="15" t="s">
        <v>34</v>
      </c>
      <c r="B23" s="15" t="s">
        <v>71</v>
      </c>
      <c r="C23" s="15" t="s">
        <v>136</v>
      </c>
      <c r="D23" s="15" t="s">
        <v>88</v>
      </c>
      <c r="E23" s="15">
        <v>54.1</v>
      </c>
      <c r="F23" s="16">
        <v>11.5</v>
      </c>
      <c r="G23" s="16">
        <v>8.55</v>
      </c>
      <c r="H23" s="16">
        <v>5.0</v>
      </c>
      <c r="I23" s="17">
        <f t="shared" si="1"/>
        <v>41.59564384</v>
      </c>
    </row>
    <row r="24" ht="22.5" customHeight="1">
      <c r="A24" s="21" t="s">
        <v>35</v>
      </c>
      <c r="B24" s="21" t="s">
        <v>73</v>
      </c>
      <c r="C24" s="21" t="s">
        <v>137</v>
      </c>
      <c r="D24" s="21" t="s">
        <v>88</v>
      </c>
      <c r="E24" s="21">
        <v>53.9</v>
      </c>
      <c r="F24" s="22">
        <v>12.5</v>
      </c>
      <c r="G24" s="22">
        <v>41.98</v>
      </c>
      <c r="H24" s="22">
        <v>7.5</v>
      </c>
      <c r="I24" s="23">
        <f t="shared" si="1"/>
        <v>25.31140631</v>
      </c>
    </row>
    <row r="25" ht="22.5" customHeight="1">
      <c r="A25" s="18" t="s">
        <v>36</v>
      </c>
      <c r="B25" s="18" t="s">
        <v>71</v>
      </c>
      <c r="C25" s="18" t="s">
        <v>138</v>
      </c>
      <c r="D25" s="18" t="s">
        <v>70</v>
      </c>
      <c r="E25" s="18">
        <v>46.5</v>
      </c>
      <c r="F25" s="19">
        <v>9.0</v>
      </c>
      <c r="G25" s="19">
        <v>2.46</v>
      </c>
      <c r="H25" s="19">
        <v>5.0</v>
      </c>
      <c r="I25" s="20">
        <f t="shared" si="1"/>
        <v>39.21034845</v>
      </c>
    </row>
    <row r="26" ht="22.5" customHeight="1">
      <c r="A26" s="21" t="s">
        <v>37</v>
      </c>
      <c r="B26" s="21" t="s">
        <v>66</v>
      </c>
      <c r="C26" s="21" t="s">
        <v>139</v>
      </c>
      <c r="D26" s="21" t="s">
        <v>89</v>
      </c>
      <c r="E26" s="21">
        <v>50.1</v>
      </c>
      <c r="F26" s="22">
        <v>14.0</v>
      </c>
      <c r="G26" s="22">
        <v>5.82</v>
      </c>
      <c r="H26" s="22">
        <v>7.5</v>
      </c>
      <c r="I26" s="23">
        <f t="shared" si="1"/>
        <v>37.53501519</v>
      </c>
    </row>
    <row r="27" ht="22.5" customHeight="1">
      <c r="A27" s="15" t="s">
        <v>38</v>
      </c>
      <c r="B27" s="15" t="s">
        <v>69</v>
      </c>
      <c r="C27" s="15" t="s">
        <v>140</v>
      </c>
      <c r="D27" s="15" t="s">
        <v>90</v>
      </c>
      <c r="E27" s="15">
        <v>41.3</v>
      </c>
      <c r="F27" s="16">
        <v>10.0</v>
      </c>
      <c r="G27" s="16">
        <v>1.98</v>
      </c>
      <c r="H27" s="16">
        <v>5.0</v>
      </c>
      <c r="I27" s="17">
        <f t="shared" si="1"/>
        <v>34.6123323</v>
      </c>
    </row>
    <row r="28" ht="22.5" customHeight="1">
      <c r="A28" s="15" t="s">
        <v>39</v>
      </c>
      <c r="B28" s="15" t="s">
        <v>64</v>
      </c>
      <c r="C28" s="15" t="s">
        <v>141</v>
      </c>
      <c r="D28" s="15" t="s">
        <v>91</v>
      </c>
      <c r="E28" s="15">
        <v>46.8</v>
      </c>
      <c r="F28" s="16">
        <v>10.5</v>
      </c>
      <c r="G28" s="16">
        <v>8.62</v>
      </c>
      <c r="H28" s="16">
        <v>5.0</v>
      </c>
      <c r="I28" s="17">
        <f t="shared" si="1"/>
        <v>36.36165546</v>
      </c>
    </row>
    <row r="29" ht="22.5" customHeight="1">
      <c r="A29" s="21" t="s">
        <v>40</v>
      </c>
      <c r="B29" s="21" t="s">
        <v>71</v>
      </c>
      <c r="C29" s="21" t="s">
        <v>142</v>
      </c>
      <c r="D29" s="21" t="s">
        <v>92</v>
      </c>
      <c r="E29" s="21">
        <v>46.3</v>
      </c>
      <c r="F29" s="22">
        <v>11.8</v>
      </c>
      <c r="G29" s="22">
        <v>26.1</v>
      </c>
      <c r="H29" s="22">
        <v>7.5</v>
      </c>
      <c r="I29" s="23">
        <f t="shared" si="1"/>
        <v>27.91487885</v>
      </c>
    </row>
    <row r="30" ht="22.5" customHeight="1">
      <c r="A30" s="21" t="s">
        <v>41</v>
      </c>
      <c r="B30" s="21" t="s">
        <v>93</v>
      </c>
      <c r="C30" s="21" t="s">
        <v>143</v>
      </c>
      <c r="D30" s="21" t="s">
        <v>94</v>
      </c>
      <c r="E30" s="21">
        <v>49.7</v>
      </c>
      <c r="F30" s="22">
        <v>13.5</v>
      </c>
      <c r="G30" s="22">
        <v>5.91</v>
      </c>
      <c r="H30" s="22">
        <v>7.5</v>
      </c>
      <c r="I30" s="23">
        <f t="shared" si="1"/>
        <v>37.41602934</v>
      </c>
    </row>
    <row r="31" ht="22.5" customHeight="1">
      <c r="A31" s="18" t="s">
        <v>42</v>
      </c>
      <c r="B31" s="18" t="s">
        <v>69</v>
      </c>
      <c r="C31" s="18" t="s">
        <v>144</v>
      </c>
      <c r="D31" s="18" t="s">
        <v>70</v>
      </c>
      <c r="E31" s="18">
        <v>43.1</v>
      </c>
      <c r="F31" s="19">
        <v>7.2</v>
      </c>
      <c r="G31" s="19">
        <v>1.68</v>
      </c>
      <c r="H31" s="19">
        <v>5.0</v>
      </c>
      <c r="I31" s="20">
        <f t="shared" si="1"/>
        <v>37.35861107</v>
      </c>
    </row>
    <row r="32" ht="22.5" customHeight="1">
      <c r="A32" s="21" t="s">
        <v>43</v>
      </c>
      <c r="B32" s="21" t="s">
        <v>95</v>
      </c>
      <c r="C32" s="21" t="s">
        <v>145</v>
      </c>
      <c r="D32" s="21" t="s">
        <v>85</v>
      </c>
      <c r="E32" s="21">
        <v>32.1</v>
      </c>
      <c r="F32" s="22">
        <v>13.0</v>
      </c>
      <c r="G32" s="22">
        <v>3.67</v>
      </c>
      <c r="H32" s="22">
        <v>5.0</v>
      </c>
      <c r="I32" s="23">
        <f t="shared" si="1"/>
        <v>25.55697515</v>
      </c>
    </row>
    <row r="33" ht="22.5" customHeight="1">
      <c r="A33" s="18" t="s">
        <v>44</v>
      </c>
      <c r="B33" s="18" t="s">
        <v>95</v>
      </c>
      <c r="C33" s="18" t="s">
        <v>146</v>
      </c>
      <c r="D33" s="18" t="s">
        <v>85</v>
      </c>
      <c r="E33" s="18">
        <v>41.4</v>
      </c>
      <c r="F33" s="19">
        <v>10.8</v>
      </c>
      <c r="G33" s="19">
        <v>3.67</v>
      </c>
      <c r="H33" s="19">
        <v>5.0</v>
      </c>
      <c r="I33" s="20">
        <f t="shared" si="1"/>
        <v>33.79483739</v>
      </c>
    </row>
    <row r="34" ht="22.5" customHeight="1">
      <c r="A34" s="21" t="s">
        <v>45</v>
      </c>
      <c r="B34" s="21" t="s">
        <v>96</v>
      </c>
      <c r="C34" s="21" t="s">
        <v>147</v>
      </c>
      <c r="D34" s="21" t="s">
        <v>90</v>
      </c>
      <c r="E34" s="21">
        <v>47.1</v>
      </c>
      <c r="F34" s="22">
        <v>8.6</v>
      </c>
      <c r="G34" s="22">
        <v>1.89</v>
      </c>
      <c r="H34" s="22">
        <v>5.0</v>
      </c>
      <c r="I34" s="23">
        <f t="shared" si="1"/>
        <v>40.12397802</v>
      </c>
    </row>
    <row r="35" ht="22.5" customHeight="1">
      <c r="A35" s="21" t="s">
        <v>46</v>
      </c>
      <c r="B35" s="21" t="s">
        <v>68</v>
      </c>
      <c r="C35" s="21" t="s">
        <v>135</v>
      </c>
      <c r="D35" s="21" t="s">
        <v>97</v>
      </c>
      <c r="E35" s="21">
        <v>48.0</v>
      </c>
      <c r="F35" s="22">
        <v>14.8</v>
      </c>
      <c r="G35" s="22">
        <v>19.23</v>
      </c>
      <c r="H35" s="22">
        <v>10.0</v>
      </c>
      <c r="I35" s="23">
        <f t="shared" si="1"/>
        <v>29.72852928</v>
      </c>
    </row>
    <row r="36" ht="22.5" customHeight="1">
      <c r="A36" s="18" t="s">
        <v>47</v>
      </c>
      <c r="B36" s="18" t="s">
        <v>71</v>
      </c>
      <c r="C36" s="18" t="s">
        <v>148</v>
      </c>
      <c r="D36" s="18" t="s">
        <v>70</v>
      </c>
      <c r="E36" s="18">
        <v>49.4</v>
      </c>
      <c r="F36" s="19">
        <v>15.2</v>
      </c>
      <c r="G36" s="19">
        <v>9.21</v>
      </c>
      <c r="H36" s="19">
        <v>5.0</v>
      </c>
      <c r="I36" s="20">
        <f t="shared" si="1"/>
        <v>36.13136946</v>
      </c>
    </row>
    <row r="37" ht="22.5" customHeight="1">
      <c r="A37" s="15" t="s">
        <v>48</v>
      </c>
      <c r="B37" s="15" t="s">
        <v>48</v>
      </c>
      <c r="C37" s="15" t="s">
        <v>149</v>
      </c>
      <c r="D37" s="15" t="s">
        <v>98</v>
      </c>
      <c r="E37" s="15">
        <v>40.9</v>
      </c>
      <c r="F37" s="16">
        <v>6.5</v>
      </c>
      <c r="G37" s="16">
        <v>2.05</v>
      </c>
      <c r="H37" s="16">
        <v>5.0</v>
      </c>
      <c r="I37" s="17">
        <f t="shared" si="1"/>
        <v>35.58467179</v>
      </c>
    </row>
    <row r="38" ht="22.5" customHeight="1">
      <c r="A38" s="18" t="s">
        <v>49</v>
      </c>
      <c r="B38" s="18" t="s">
        <v>73</v>
      </c>
      <c r="C38" s="18" t="s">
        <v>150</v>
      </c>
      <c r="D38" s="18" t="s">
        <v>151</v>
      </c>
      <c r="E38" s="18">
        <v>41.3</v>
      </c>
      <c r="F38" s="19">
        <v>18.2</v>
      </c>
      <c r="G38" s="19">
        <v>5.6</v>
      </c>
      <c r="H38" s="19">
        <v>5.0</v>
      </c>
      <c r="I38" s="20">
        <f t="shared" si="1"/>
        <v>30.29695312</v>
      </c>
    </row>
    <row r="39" ht="22.5" customHeight="1">
      <c r="A39" s="21" t="s">
        <v>50</v>
      </c>
      <c r="B39" s="21" t="s">
        <v>71</v>
      </c>
      <c r="C39" s="21" t="s">
        <v>152</v>
      </c>
      <c r="D39" s="21" t="s">
        <v>100</v>
      </c>
      <c r="E39" s="21">
        <v>47.4</v>
      </c>
      <c r="F39" s="22">
        <v>14.9</v>
      </c>
      <c r="G39" s="22">
        <v>14.36</v>
      </c>
      <c r="H39" s="22">
        <v>7.5</v>
      </c>
      <c r="I39" s="23">
        <f t="shared" si="1"/>
        <v>31.95407816</v>
      </c>
    </row>
    <row r="40" ht="22.5" customHeight="1">
      <c r="A40" s="18" t="s">
        <v>51</v>
      </c>
      <c r="B40" s="18" t="s">
        <v>64</v>
      </c>
      <c r="C40" s="18" t="s">
        <v>153</v>
      </c>
      <c r="D40" s="18" t="s">
        <v>70</v>
      </c>
      <c r="E40" s="18">
        <v>48.3</v>
      </c>
      <c r="F40" s="19">
        <v>13.5</v>
      </c>
      <c r="G40" s="19">
        <v>9.01</v>
      </c>
      <c r="H40" s="19">
        <v>5.0</v>
      </c>
      <c r="I40" s="20">
        <f t="shared" si="1"/>
        <v>36.1144087</v>
      </c>
    </row>
    <row r="41" ht="22.5" customHeight="1">
      <c r="A41" s="18" t="s">
        <v>52</v>
      </c>
      <c r="B41" s="18" t="s">
        <v>64</v>
      </c>
      <c r="C41" s="18" t="s">
        <v>154</v>
      </c>
      <c r="D41" s="18" t="s">
        <v>88</v>
      </c>
      <c r="E41" s="18">
        <v>56.0</v>
      </c>
      <c r="F41" s="19">
        <v>14.2</v>
      </c>
      <c r="G41" s="19">
        <v>8.43</v>
      </c>
      <c r="H41" s="19">
        <v>5.0</v>
      </c>
      <c r="I41" s="20">
        <f t="shared" si="1"/>
        <v>41.79767592</v>
      </c>
    </row>
    <row r="42" ht="22.5" customHeight="1">
      <c r="A42" s="21" t="s">
        <v>53</v>
      </c>
      <c r="B42" s="21" t="s">
        <v>64</v>
      </c>
      <c r="C42" s="21" t="s">
        <v>155</v>
      </c>
      <c r="D42" s="21" t="s">
        <v>65</v>
      </c>
      <c r="E42" s="21">
        <v>53.2</v>
      </c>
      <c r="F42" s="22">
        <v>15.8</v>
      </c>
      <c r="G42" s="22">
        <v>17.83</v>
      </c>
      <c r="H42" s="22">
        <v>7.5</v>
      </c>
      <c r="I42" s="23">
        <f t="shared" si="1"/>
        <v>34.04699159</v>
      </c>
    </row>
    <row r="43" ht="22.5" customHeight="1">
      <c r="A43" s="21" t="s">
        <v>54</v>
      </c>
      <c r="B43" s="21" t="s">
        <v>64</v>
      </c>
      <c r="C43" s="21" t="s">
        <v>156</v>
      </c>
      <c r="D43" s="21" t="s">
        <v>101</v>
      </c>
      <c r="E43" s="21">
        <v>54.9</v>
      </c>
      <c r="F43" s="22">
        <v>16.3</v>
      </c>
      <c r="G43" s="22">
        <v>16.22</v>
      </c>
      <c r="H43" s="22">
        <v>7.5</v>
      </c>
      <c r="I43" s="23">
        <f t="shared" si="1"/>
        <v>35.6106492</v>
      </c>
    </row>
    <row r="44" ht="22.5" customHeight="1">
      <c r="A44" s="21" t="s">
        <v>55</v>
      </c>
      <c r="B44" s="21" t="s">
        <v>64</v>
      </c>
      <c r="C44" s="21" t="s">
        <v>157</v>
      </c>
      <c r="D44" s="21" t="s">
        <v>88</v>
      </c>
      <c r="E44" s="21">
        <v>55.3</v>
      </c>
      <c r="F44" s="22">
        <v>14.8</v>
      </c>
      <c r="G44" s="22">
        <v>11.88</v>
      </c>
      <c r="H44" s="22">
        <v>5.0</v>
      </c>
      <c r="I44" s="23">
        <f t="shared" si="1"/>
        <v>39.44235338</v>
      </c>
    </row>
    <row r="45" ht="22.5" customHeight="1">
      <c r="A45" s="21" t="s">
        <v>56</v>
      </c>
      <c r="B45" s="21" t="s">
        <v>71</v>
      </c>
      <c r="C45" s="21" t="s">
        <v>158</v>
      </c>
      <c r="D45" s="21" t="s">
        <v>72</v>
      </c>
      <c r="E45" s="21">
        <v>48.7</v>
      </c>
      <c r="F45" s="22">
        <v>14.2</v>
      </c>
      <c r="G45" s="22">
        <v>6.62</v>
      </c>
      <c r="H45" s="22">
        <v>5.0</v>
      </c>
      <c r="I45" s="23">
        <f t="shared" si="1"/>
        <v>37.06753651</v>
      </c>
    </row>
    <row r="46" ht="22.5" customHeight="1">
      <c r="A46" s="29"/>
      <c r="B46" s="29"/>
      <c r="C46" s="29"/>
      <c r="D46" s="29"/>
      <c r="E46" s="29"/>
      <c r="F46" s="30">
        <f t="shared" ref="F46:H46" si="2">SUM(F2:F45)/44</f>
        <v>11.27045455</v>
      </c>
      <c r="G46" s="30">
        <f t="shared" si="2"/>
        <v>8.895227273</v>
      </c>
      <c r="H46" s="30">
        <f t="shared" si="2"/>
        <v>5.965909091</v>
      </c>
      <c r="I46" s="31"/>
    </row>
  </sheetData>
  <dataValidations>
    <dataValidation type="custom" allowBlank="1" showDropDown="1" sqref="F2:I46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3" width="22.63"/>
  </cols>
  <sheetData>
    <row r="1" ht="22.5" customHeight="1">
      <c r="A1" s="1" t="s">
        <v>58</v>
      </c>
      <c r="B1" s="1" t="s">
        <v>159</v>
      </c>
      <c r="C1" s="1" t="s">
        <v>160</v>
      </c>
    </row>
    <row r="2" ht="22.5" customHeight="1">
      <c r="A2" s="2" t="s">
        <v>161</v>
      </c>
      <c r="B2" s="32">
        <v>29.73</v>
      </c>
      <c r="C2" s="2">
        <v>1.0</v>
      </c>
    </row>
    <row r="3" ht="22.5" customHeight="1">
      <c r="A3" s="2" t="s">
        <v>85</v>
      </c>
      <c r="B3" s="33">
        <f>(31.76+25.56+33.79+30.3)/4</f>
        <v>30.3525</v>
      </c>
      <c r="C3" s="2">
        <v>4.0</v>
      </c>
    </row>
    <row r="4" ht="22.5" customHeight="1">
      <c r="A4" s="2" t="s">
        <v>79</v>
      </c>
      <c r="B4" s="33">
        <f>(28.13+35.61+34.52)/3</f>
        <v>32.75333333</v>
      </c>
      <c r="C4" s="2">
        <v>3.0</v>
      </c>
    </row>
    <row r="5" ht="22.5" customHeight="1">
      <c r="A5" s="2" t="s">
        <v>98</v>
      </c>
      <c r="B5" s="32">
        <v>35.58</v>
      </c>
      <c r="C5" s="2">
        <v>1.0</v>
      </c>
    </row>
    <row r="6" ht="22.5" customHeight="1">
      <c r="A6" s="2" t="s">
        <v>91</v>
      </c>
      <c r="B6" s="32">
        <v>36.36</v>
      </c>
      <c r="C6" s="2">
        <v>1.0</v>
      </c>
    </row>
    <row r="7" ht="22.5" customHeight="1">
      <c r="A7" s="2" t="s">
        <v>162</v>
      </c>
      <c r="B7" s="33">
        <f>(37.54+31.95+40.88)/3</f>
        <v>36.79</v>
      </c>
      <c r="C7" s="2">
        <v>3.0</v>
      </c>
    </row>
    <row r="8" ht="22.5" customHeight="1">
      <c r="A8" s="2" t="s">
        <v>88</v>
      </c>
      <c r="B8" s="33">
        <f>(41.6+25.31+41.8+39.44)/4</f>
        <v>37.0375</v>
      </c>
      <c r="C8" s="2">
        <v>4.0</v>
      </c>
    </row>
    <row r="9" ht="22.5" customHeight="1">
      <c r="A9" s="2" t="s">
        <v>124</v>
      </c>
      <c r="B9" s="32">
        <v>37.23</v>
      </c>
      <c r="C9" s="2">
        <v>1.0</v>
      </c>
    </row>
    <row r="10" ht="22.5" customHeight="1">
      <c r="A10" s="2" t="s">
        <v>70</v>
      </c>
      <c r="B10" s="33">
        <f>(34.46+38.79+36.82+37.65+36.09+39.83+39.21+37.36+36.13+36.11)/10</f>
        <v>37.245</v>
      </c>
      <c r="C10" s="2">
        <v>10.0</v>
      </c>
    </row>
    <row r="11" ht="22.5" customHeight="1">
      <c r="A11" s="2" t="s">
        <v>90</v>
      </c>
      <c r="B11" s="33">
        <f>(34.61+40.12)/2</f>
        <v>37.365</v>
      </c>
      <c r="C11" s="2">
        <v>2.0</v>
      </c>
    </row>
    <row r="12" ht="22.5" customHeight="1">
      <c r="A12" s="2" t="s">
        <v>163</v>
      </c>
      <c r="B12" s="32">
        <v>37.42</v>
      </c>
      <c r="C12" s="2">
        <v>1.0</v>
      </c>
    </row>
    <row r="13" ht="22.5" customHeight="1">
      <c r="A13" s="2" t="s">
        <v>164</v>
      </c>
      <c r="B13" s="33">
        <f>(39.11+38.39+38.42+34.05+39.74)/5</f>
        <v>37.942</v>
      </c>
      <c r="C13" s="2">
        <v>5.0</v>
      </c>
    </row>
    <row r="14" ht="22.5" customHeight="1">
      <c r="A14" s="2" t="s">
        <v>72</v>
      </c>
      <c r="B14" s="33">
        <f>(46.7+32.23+46.99+37.07+27.91)/5</f>
        <v>38.18</v>
      </c>
      <c r="C14" s="2">
        <v>5.0</v>
      </c>
    </row>
    <row r="15" ht="22.5" customHeight="1">
      <c r="A15" s="2" t="s">
        <v>74</v>
      </c>
      <c r="B15" s="32">
        <v>40.49</v>
      </c>
      <c r="C15" s="2">
        <v>1.0</v>
      </c>
    </row>
    <row r="16" ht="22.5" customHeight="1">
      <c r="A16" s="2" t="s">
        <v>86</v>
      </c>
      <c r="B16" s="32">
        <v>41.52</v>
      </c>
      <c r="C16" s="2">
        <v>1.0</v>
      </c>
    </row>
    <row r="17" ht="22.5" customHeight="1">
      <c r="A17" s="2" t="s">
        <v>165</v>
      </c>
      <c r="B17" s="32">
        <v>41.74</v>
      </c>
      <c r="C17" s="2">
        <v>1.0</v>
      </c>
    </row>
    <row r="18" ht="22.5" customHeight="1">
      <c r="A18" s="2"/>
      <c r="B18" s="33">
        <f>SUM(Table4[Average Capacity factor (%)])/16</f>
        <v>36.73345833</v>
      </c>
      <c r="C18" s="2">
        <f>SUM(Table4[Number of Wind Farms])</f>
        <v>44</v>
      </c>
    </row>
  </sheetData>
  <dataValidations>
    <dataValidation type="custom" allowBlank="1" showDropDown="1" sqref="B2:B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</cols>
  <sheetData>
    <row r="1" ht="22.5" customHeight="1">
      <c r="A1" s="1" t="s">
        <v>57</v>
      </c>
      <c r="B1" s="1" t="s">
        <v>159</v>
      </c>
      <c r="C1" s="1" t="s">
        <v>160</v>
      </c>
    </row>
    <row r="2" ht="22.5" customHeight="1">
      <c r="A2" s="2" t="s">
        <v>61</v>
      </c>
      <c r="B2" s="33">
        <f>39.74</f>
        <v>39.74</v>
      </c>
      <c r="C2" s="2">
        <v>1.0</v>
      </c>
    </row>
    <row r="3" ht="22.5" customHeight="1">
      <c r="A3" s="2" t="s">
        <v>64</v>
      </c>
      <c r="B3" s="33">
        <f>(36.36+35.61+36.11+41.8+39.44+39.11+34.05)/7</f>
        <v>37.49714286</v>
      </c>
      <c r="C3" s="2">
        <v>7.0</v>
      </c>
    </row>
    <row r="4" ht="22.5" customHeight="1">
      <c r="A4" s="2" t="s">
        <v>93</v>
      </c>
      <c r="B4" s="32">
        <v>37.42</v>
      </c>
      <c r="C4" s="2">
        <v>1.0</v>
      </c>
    </row>
    <row r="5" ht="22.5" customHeight="1">
      <c r="A5" s="2" t="s">
        <v>96</v>
      </c>
      <c r="B5" s="32">
        <v>40.12</v>
      </c>
      <c r="C5" s="2">
        <v>1.0</v>
      </c>
    </row>
    <row r="6" ht="22.5" customHeight="1">
      <c r="A6" s="2" t="s">
        <v>69</v>
      </c>
      <c r="B6" s="33">
        <f>(34.46+36.09+37.36+38.42+34.61)/5</f>
        <v>36.188</v>
      </c>
      <c r="C6" s="2">
        <v>5.0</v>
      </c>
    </row>
    <row r="7" ht="22.5" customHeight="1">
      <c r="A7" s="2" t="s">
        <v>66</v>
      </c>
      <c r="B7" s="33">
        <f>(37.54+28.13)/2</f>
        <v>32.835</v>
      </c>
      <c r="C7" s="2">
        <v>2.0</v>
      </c>
    </row>
    <row r="8" ht="22.5" customHeight="1">
      <c r="A8" s="2" t="s">
        <v>78</v>
      </c>
      <c r="B8" s="33">
        <f>(37.23+34.52)/2</f>
        <v>35.875</v>
      </c>
      <c r="C8" s="2">
        <v>2.0</v>
      </c>
    </row>
    <row r="9" ht="22.5" customHeight="1">
      <c r="A9" s="2" t="s">
        <v>71</v>
      </c>
      <c r="B9" s="33">
        <f>(31.95+39.83+39.21+36.13+41.6+32.23+37.07+27.91+41.74)/9</f>
        <v>36.40777778</v>
      </c>
      <c r="C9" s="2">
        <v>9.0</v>
      </c>
    </row>
    <row r="10" ht="22.5" customHeight="1">
      <c r="A10" s="2" t="s">
        <v>68</v>
      </c>
      <c r="B10" s="33">
        <f>(29.73+46.7+38.39+40.88)/4</f>
        <v>38.925</v>
      </c>
      <c r="C10" s="2">
        <v>4.0</v>
      </c>
    </row>
    <row r="11" ht="22.5" customHeight="1">
      <c r="A11" s="2" t="s">
        <v>73</v>
      </c>
      <c r="B11" s="33">
        <f>(40.49+38.79+36.82+37.65+25.31+46.99+41.52+31.76+30.3)/9</f>
        <v>36.62555556</v>
      </c>
      <c r="C11" s="2">
        <v>9.0</v>
      </c>
    </row>
    <row r="12" ht="22.5" customHeight="1">
      <c r="A12" s="2" t="s">
        <v>95</v>
      </c>
      <c r="B12" s="33">
        <f>(25.56+33.79)/2</f>
        <v>29.675</v>
      </c>
      <c r="C12" s="2">
        <v>2.0</v>
      </c>
    </row>
    <row r="13" ht="22.5" customHeight="1">
      <c r="A13" s="2" t="s">
        <v>48</v>
      </c>
      <c r="B13" s="32">
        <v>35.58</v>
      </c>
      <c r="C13" s="2">
        <v>1.0</v>
      </c>
    </row>
    <row r="14" ht="22.5" customHeight="1">
      <c r="A14" s="2"/>
      <c r="B14" s="32">
        <f>SUM(Table5[Average Capacity factor (%)])/12</f>
        <v>36.40737302</v>
      </c>
      <c r="C14" s="2">
        <f>SUM(Table5[Number of Wind Farms])</f>
        <v>44</v>
      </c>
    </row>
  </sheetData>
  <dataValidations>
    <dataValidation type="custom" allowBlank="1" showDropDown="1" sqref="B2:B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